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R-February 2026" sheetId="1" r:id="rId4"/>
    <sheet state="hidden" name="Appeared in exam" sheetId="2" r:id="rId5"/>
  </sheets>
  <definedNames/>
  <calcPr/>
  <extLst>
    <ext uri="GoogleSheetsCustomDataVersion2">
      <go:sheetsCustomData xmlns:go="http://customooxmlschemas.google.com/" r:id="rId6" roundtripDataChecksum="Nio3nkUOjqZbdCB3AGs20hzsY4NLqFYINA/XgZnu0gs="/>
    </ext>
  </extLst>
</workbook>
</file>

<file path=xl/sharedStrings.xml><?xml version="1.0" encoding="utf-8"?>
<sst xmlns="http://schemas.openxmlformats.org/spreadsheetml/2006/main" count="243" uniqueCount="75">
  <si>
    <t>S NO</t>
  </si>
  <si>
    <t>NIELIT Centre</t>
  </si>
  <si>
    <t>State</t>
  </si>
  <si>
    <t>Course Status</t>
  </si>
  <si>
    <t>Name of the Courses</t>
  </si>
  <si>
    <t>Duration (in Hours)</t>
  </si>
  <si>
    <t>Total SC/ST Target</t>
  </si>
  <si>
    <t>Total EWS Target</t>
  </si>
  <si>
    <t>TOTAL Target upto 2nd Year</t>
  </si>
  <si>
    <t xml:space="preserve">Female </t>
  </si>
  <si>
    <t>Registered Candidate</t>
  </si>
  <si>
    <t>Undergoing Training Candidate</t>
  </si>
  <si>
    <t>Trained Candidate</t>
  </si>
  <si>
    <t>Certified Candidate</t>
  </si>
  <si>
    <t>Total SC</t>
  </si>
  <si>
    <t>Total ST</t>
  </si>
  <si>
    <t>Total EWS</t>
  </si>
  <si>
    <t>TOTAL</t>
  </si>
  <si>
    <t>SC</t>
  </si>
  <si>
    <t>ST</t>
  </si>
  <si>
    <t>EWS</t>
  </si>
  <si>
    <t>Total</t>
  </si>
  <si>
    <t>Bhubaneswar</t>
  </si>
  <si>
    <t>Odisha</t>
  </si>
  <si>
    <t>Courses Active since the starting of the project</t>
  </si>
  <si>
    <t>Product Assembly Assistant (Solar-LED)</t>
  </si>
  <si>
    <t>O Level (IT)</t>
  </si>
  <si>
    <t>Old Courses Active From (24 may 2024 to 27 Nov 2025)</t>
  </si>
  <si>
    <t>Foundation course in Machine Learning using Python</t>
  </si>
  <si>
    <t>Foundation course in Internet of Things (IoT)</t>
  </si>
  <si>
    <t>Certified Computer Application Accounting and Publishing Assistant</t>
  </si>
  <si>
    <t>Certified Web Developer</t>
  </si>
  <si>
    <t>Certified Data Entry and Office Assistant (Upskilling)</t>
  </si>
  <si>
    <t>Foundation course in Information Security</t>
  </si>
  <si>
    <t>New Approved Courses from (28 Nov 2025)</t>
  </si>
  <si>
    <t>Foundation of Artificial Intelligence Technology</t>
  </si>
  <si>
    <t>Fundamentals of Internet of Things (IoT)</t>
  </si>
  <si>
    <t>Computer Application Accounting and Publishing Assistance</t>
  </si>
  <si>
    <t>Full Stack Development Associate</t>
  </si>
  <si>
    <t>Essentials of Data Entry and Office Automation</t>
  </si>
  <si>
    <t>Fundamental of Information Security</t>
  </si>
  <si>
    <t>Ranchi</t>
  </si>
  <si>
    <t>Jharkhand</t>
  </si>
  <si>
    <t>Kolkata</t>
  </si>
  <si>
    <t xml:space="preserve">West Bengal </t>
  </si>
  <si>
    <t>Patna</t>
  </si>
  <si>
    <t xml:space="preserve">Bihar </t>
  </si>
  <si>
    <t>ITeS BPO Executive - Voice</t>
  </si>
  <si>
    <t>Assistant Computer Technician</t>
  </si>
  <si>
    <t xml:space="preserve">Total </t>
  </si>
  <si>
    <t>District</t>
  </si>
  <si>
    <t>Training organisation</t>
  </si>
  <si>
    <t>Khordha</t>
  </si>
  <si>
    <t>Govt  Polytechnic/ITI/NIELIT Own centre</t>
  </si>
  <si>
    <t>Training Partner</t>
  </si>
  <si>
    <t>Jagatsinghpur</t>
  </si>
  <si>
    <t>Govt  Polytechnic/ITI</t>
  </si>
  <si>
    <t>Balasore</t>
  </si>
  <si>
    <t>Ganjam</t>
  </si>
  <si>
    <t>Naupada</t>
  </si>
  <si>
    <t>Seraikela Kharsawan</t>
  </si>
  <si>
    <t>Simdega</t>
  </si>
  <si>
    <t>Deoghar</t>
  </si>
  <si>
    <t>Koderma</t>
  </si>
  <si>
    <t>Chatra</t>
  </si>
  <si>
    <t>Birbhum</t>
  </si>
  <si>
    <t>Purulia</t>
  </si>
  <si>
    <t>Howrah</t>
  </si>
  <si>
    <t>Maldah</t>
  </si>
  <si>
    <t>Uttar Dinajpur</t>
  </si>
  <si>
    <t>Gaya</t>
  </si>
  <si>
    <t>Rohtas</t>
  </si>
  <si>
    <t>Lakhisarai</t>
  </si>
  <si>
    <t>Motihari</t>
  </si>
  <si>
    <t>Purnea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</si>
</sst>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0.0"/>
      <color rgb="FF000000"/>
      <name val="Cambria"/>
    </font>
    <font/>
    <font>
      <sz val="10.0"/>
      <color rgb="FF000000"/>
      <name val="Cambria"/>
    </font>
    <font>
      <b/>
      <sz val="14.0"/>
      <color rgb="FF000000"/>
      <name val="Cambria"/>
    </font>
    <font>
      <color rgb="FF000000"/>
      <name val="Arial"/>
    </font>
    <font>
      <b/>
      <color rgb="FF000000"/>
      <name val="Arial"/>
    </font>
    <font>
      <b/>
      <sz val="10.0"/>
      <color theme="1"/>
      <name val="Cambria"/>
    </font>
    <font>
      <color rgb="FF000000"/>
      <name val="Cambria"/>
    </font>
    <font>
      <b/>
      <color rgb="FF000000"/>
      <name val="Cambria"/>
    </font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Times New Roman"/>
    </font>
    <font>
      <sz val="10.0"/>
      <color theme="1"/>
      <name val="Cambria"/>
    </font>
    <font>
      <sz val="10.0"/>
      <color rgb="FF000000"/>
      <name val="Arial"/>
    </font>
    <font>
      <b/>
      <sz val="10.0"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b/>
      <sz val="12.0"/>
      <color rgb="FF000000"/>
      <name val="Cambria"/>
    </font>
    <font>
      <sz val="7.0"/>
      <color theme="1"/>
      <name val="Arial"/>
    </font>
    <font>
      <sz val="10.0"/>
      <color rgb="FF000000"/>
      <name val="Times New Roman"/>
    </font>
  </fonts>
  <fills count="1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70AE6E"/>
        <bgColor rgb="FF70AE6E"/>
      </patternFill>
    </fill>
    <fill>
      <patternFill patternType="solid">
        <fgColor rgb="FFEAD1DC"/>
        <bgColor rgb="FFEAD1DC"/>
      </patternFill>
    </fill>
    <fill>
      <patternFill patternType="solid">
        <fgColor rgb="FFFEE1CC"/>
        <bgColor rgb="FFFEE1CC"/>
      </patternFill>
    </fill>
    <fill>
      <patternFill patternType="solid">
        <fgColor rgb="FFEA9999"/>
        <bgColor rgb="FFEA9999"/>
      </patternFill>
    </fill>
    <fill>
      <patternFill patternType="solid">
        <fgColor rgb="FFF6B3AE"/>
        <bgColor rgb="FFF6B3AE"/>
      </patternFill>
    </fill>
    <fill>
      <patternFill patternType="solid">
        <fgColor rgb="FFD2F1DA"/>
        <bgColor rgb="FFD2F1DA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textRotation="90" vertical="center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ont="1">
      <alignment horizontal="center" textRotation="90" vertical="center"/>
    </xf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7" fillId="5" fontId="3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readingOrder="0" shrinkToFit="0" vertical="center" wrapText="1"/>
    </xf>
    <xf borderId="8" fillId="6" fontId="3" numFmtId="0" xfId="0" applyAlignment="1" applyBorder="1" applyFill="1" applyFont="1">
      <alignment horizontal="left" vertical="center"/>
    </xf>
    <xf borderId="9" fillId="7" fontId="3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9" fillId="8" fontId="3" numFmtId="0" xfId="0" applyAlignment="1" applyBorder="1" applyFill="1" applyFont="1">
      <alignment horizontal="center" readingOrder="0"/>
    </xf>
    <xf borderId="9" fillId="9" fontId="5" numFmtId="0" xfId="0" applyAlignment="1" applyBorder="1" applyFill="1" applyFont="1">
      <alignment horizontal="center" readingOrder="0" shrinkToFit="0" vertical="bottom" wrapText="0"/>
    </xf>
    <xf borderId="4" fillId="9" fontId="5" numFmtId="0" xfId="0" applyAlignment="1" applyBorder="1" applyFont="1">
      <alignment horizontal="center" readingOrder="0" shrinkToFit="0" vertical="bottom" wrapText="0"/>
    </xf>
    <xf borderId="4" fillId="9" fontId="6" numFmtId="0" xfId="0" applyAlignment="1" applyBorder="1" applyFont="1">
      <alignment horizontal="center" readingOrder="0" shrinkToFit="0" vertical="bottom" wrapText="0"/>
    </xf>
    <xf borderId="10" fillId="5" fontId="7" numFmtId="0" xfId="0" applyAlignment="1" applyBorder="1" applyFont="1">
      <alignment horizontal="center"/>
    </xf>
    <xf borderId="11" fillId="0" fontId="2" numFmtId="0" xfId="0" applyBorder="1" applyFont="1"/>
    <xf borderId="10" fillId="7" fontId="3" numFmtId="0" xfId="0" applyAlignment="1" applyBorder="1" applyFont="1">
      <alignment horizontal="center" vertical="center"/>
    </xf>
    <xf borderId="10" fillId="8" fontId="3" numFmtId="0" xfId="0" applyAlignment="1" applyBorder="1" applyFont="1">
      <alignment horizontal="center" readingOrder="0"/>
    </xf>
    <xf borderId="5" fillId="9" fontId="8" numFmtId="0" xfId="0" applyAlignment="1" applyBorder="1" applyFont="1">
      <alignment horizontal="center" readingOrder="0" shrinkToFit="0" vertical="bottom" wrapText="0"/>
    </xf>
    <xf borderId="12" fillId="9" fontId="8" numFmtId="0" xfId="0" applyAlignment="1" applyBorder="1" applyFont="1">
      <alignment horizontal="center" readingOrder="0" shrinkToFit="0" vertical="bottom" wrapText="0"/>
    </xf>
    <xf borderId="12" fillId="9" fontId="9" numFmtId="0" xfId="0" applyAlignment="1" applyBorder="1" applyFont="1">
      <alignment horizontal="center" readingOrder="0" shrinkToFit="0" vertical="bottom" wrapText="0"/>
    </xf>
    <xf borderId="9" fillId="6" fontId="3" numFmtId="0" xfId="0" applyAlignment="1" applyBorder="1" applyFont="1">
      <alignment horizontal="left" vertical="center"/>
    </xf>
    <xf borderId="8" fillId="6" fontId="3" numFmtId="0" xfId="0" applyAlignment="1" applyBorder="1" applyFont="1">
      <alignment horizontal="left" shrinkToFit="0" vertical="center" wrapText="1"/>
    </xf>
    <xf borderId="10" fillId="7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9" fillId="10" fontId="3" numFmtId="0" xfId="0" applyAlignment="1" applyBorder="1" applyFill="1" applyFont="1">
      <alignment horizontal="left" vertical="center"/>
    </xf>
    <xf borderId="5" fillId="7" fontId="3" numFmtId="0" xfId="0" applyAlignment="1" applyBorder="1" applyFont="1">
      <alignment horizontal="center" readingOrder="0"/>
    </xf>
    <xf borderId="12" fillId="7" fontId="9" numFmtId="0" xfId="0" applyAlignment="1" applyBorder="1" applyFont="1">
      <alignment horizontal="center" readingOrder="0" shrinkToFit="0" vertical="bottom" wrapText="0"/>
    </xf>
    <xf borderId="10" fillId="5" fontId="3" numFmtId="0" xfId="0" applyAlignment="1" applyBorder="1" applyFont="1">
      <alignment horizontal="center" readingOrder="0"/>
    </xf>
    <xf borderId="10" fillId="7" fontId="3" numFmtId="0" xfId="0" applyAlignment="1" applyBorder="1" applyFont="1">
      <alignment horizontal="center" readingOrder="0"/>
    </xf>
    <xf borderId="9" fillId="10" fontId="3" numFmtId="0" xfId="0" applyAlignment="1" applyBorder="1" applyFont="1">
      <alignment horizontal="left" readingOrder="0" vertical="center"/>
    </xf>
    <xf borderId="13" fillId="0" fontId="2" numFmtId="0" xfId="0" applyBorder="1" applyFont="1"/>
    <xf borderId="9" fillId="9" fontId="10" numFmtId="0" xfId="0" applyAlignment="1" applyBorder="1" applyFont="1">
      <alignment horizontal="center"/>
    </xf>
    <xf borderId="9" fillId="9" fontId="10" numFmtId="0" xfId="0" applyAlignment="1" applyBorder="1" applyFont="1">
      <alignment horizontal="left"/>
    </xf>
    <xf borderId="9" fillId="9" fontId="11" numFmtId="0" xfId="0" applyAlignment="1" applyBorder="1" applyFont="1">
      <alignment horizontal="center"/>
    </xf>
    <xf borderId="10" fillId="9" fontId="11" numFmtId="0" xfId="0" applyAlignment="1" applyBorder="1" applyFont="1">
      <alignment horizontal="center"/>
    </xf>
    <xf borderId="10" fillId="4" fontId="11" numFmtId="0" xfId="0" applyAlignment="1" applyBorder="1" applyFont="1">
      <alignment horizontal="center"/>
    </xf>
    <xf borderId="10" fillId="9" fontId="1" numFmtId="0" xfId="0" applyAlignment="1" applyBorder="1" applyFont="1">
      <alignment horizontal="center" readingOrder="0"/>
    </xf>
    <xf borderId="0" fillId="0" fontId="10" numFmtId="0" xfId="0" applyAlignment="1" applyFont="1">
      <alignment horizontal="center" vertical="center"/>
    </xf>
    <xf borderId="14" fillId="5" fontId="4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left" vertical="center"/>
    </xf>
    <xf borderId="14" fillId="5" fontId="3" numFmtId="0" xfId="0" applyAlignment="1" applyBorder="1" applyFont="1">
      <alignment horizontal="center" vertical="center"/>
    </xf>
    <xf borderId="14" fillId="5" fontId="1" numFmtId="0" xfId="0" applyAlignment="1" applyBorder="1" applyFont="1">
      <alignment horizontal="center" vertical="center"/>
    </xf>
    <xf borderId="14" fillId="4" fontId="3" numFmtId="0" xfId="0" applyAlignment="1" applyBorder="1" applyFont="1">
      <alignment horizontal="center" vertical="center"/>
    </xf>
    <xf borderId="14" fillId="5" fontId="3" numFmtId="0" xfId="0" applyAlignment="1" applyBorder="1" applyFont="1">
      <alignment horizontal="center"/>
    </xf>
    <xf borderId="14" fillId="5" fontId="13" numFmtId="0" xfId="0" applyAlignment="1" applyBorder="1" applyFont="1">
      <alignment horizontal="center"/>
    </xf>
    <xf borderId="1" fillId="0" fontId="10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9" fillId="4" fontId="3" numFmtId="0" xfId="0" applyAlignment="1" applyBorder="1" applyFont="1">
      <alignment horizontal="center" readingOrder="0"/>
    </xf>
    <xf borderId="5" fillId="5" fontId="8" numFmtId="0" xfId="0" applyAlignment="1" applyBorder="1" applyFont="1">
      <alignment horizontal="center" readingOrder="0" shrinkToFit="0" vertical="bottom" wrapText="0"/>
    </xf>
    <xf borderId="12" fillId="5" fontId="8" numFmtId="0" xfId="0" applyAlignment="1" applyBorder="1" applyFont="1">
      <alignment horizontal="center" readingOrder="0" shrinkToFit="0" vertical="bottom" wrapText="0"/>
    </xf>
    <xf borderId="12" fillId="5" fontId="9" numFmtId="0" xfId="0" applyAlignment="1" applyBorder="1" applyFont="1">
      <alignment horizontal="center" readingOrder="0" shrinkToFit="0" vertical="bottom" wrapText="0"/>
    </xf>
    <xf borderId="5" fillId="9" fontId="6" numFmtId="0" xfId="0" applyAlignment="1" applyBorder="1" applyFont="1">
      <alignment horizontal="center" readingOrder="0" shrinkToFit="0" vertical="bottom" wrapText="0"/>
    </xf>
    <xf borderId="12" fillId="9" fontId="6" numFmtId="0" xfId="0" applyAlignment="1" applyBorder="1" applyFont="1">
      <alignment horizontal="center" readingOrder="0" shrinkToFit="0" vertical="bottom" wrapText="0"/>
    </xf>
    <xf borderId="0" fillId="5" fontId="14" numFmtId="0" xfId="0" applyFont="1"/>
    <xf borderId="0" fillId="0" fontId="14" numFmtId="0" xfId="0" applyFont="1"/>
    <xf borderId="10" fillId="4" fontId="3" numFmtId="0" xfId="0" applyAlignment="1" applyBorder="1" applyFont="1">
      <alignment horizontal="center" readingOrder="0"/>
    </xf>
    <xf borderId="9" fillId="6" fontId="3" numFmtId="0" xfId="0" applyAlignment="1" applyBorder="1" applyFont="1">
      <alignment horizontal="left" shrinkToFit="0" vertical="center" wrapText="1"/>
    </xf>
    <xf borderId="5" fillId="5" fontId="9" numFmtId="0" xfId="0" applyAlignment="1" applyBorder="1" applyFont="1">
      <alignment horizontal="center" readingOrder="0" shrinkToFit="0" vertical="bottom" wrapText="0"/>
    </xf>
    <xf borderId="6" fillId="5" fontId="3" numFmtId="0" xfId="0" applyAlignment="1" applyBorder="1" applyFont="1">
      <alignment horizontal="center" readingOrder="0"/>
    </xf>
    <xf borderId="9" fillId="5" fontId="7" numFmtId="0" xfId="0" applyAlignment="1" applyBorder="1" applyFont="1">
      <alignment horizontal="center"/>
    </xf>
    <xf borderId="10" fillId="4" fontId="3" numFmtId="0" xfId="0" applyAlignment="1" applyBorder="1" applyFont="1">
      <alignment horizontal="center"/>
    </xf>
    <xf borderId="10" fillId="9" fontId="7" numFmtId="0" xfId="0" applyAlignment="1" applyBorder="1" applyFont="1">
      <alignment horizontal="center"/>
    </xf>
    <xf borderId="0" fillId="0" fontId="10" numFmtId="0" xfId="0" applyAlignment="1" applyFont="1">
      <alignment horizontal="left" shrinkToFit="0" vertical="center" wrapText="1"/>
    </xf>
    <xf borderId="14" fillId="5" fontId="1" numFmtId="0" xfId="0" applyAlignment="1" applyBorder="1" applyFont="1">
      <alignment horizontal="center"/>
    </xf>
    <xf borderId="14" fillId="4" fontId="3" numFmtId="0" xfId="0" applyAlignment="1" applyBorder="1" applyFont="1">
      <alignment horizontal="center"/>
    </xf>
    <xf borderId="0" fillId="0" fontId="13" numFmtId="0" xfId="0" applyFont="1"/>
    <xf borderId="1" fillId="0" fontId="10" numFmtId="0" xfId="0" applyAlignment="1" applyBorder="1" applyFont="1">
      <alignment horizontal="center" shrinkToFit="0" vertical="center" wrapText="1"/>
    </xf>
    <xf borderId="9" fillId="4" fontId="14" numFmtId="0" xfId="0" applyAlignment="1" applyBorder="1" applyFont="1">
      <alignment horizontal="center"/>
    </xf>
    <xf borderId="9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9" fillId="5" fontId="3" numFmtId="0" xfId="0" applyAlignment="1" applyBorder="1" applyFont="1">
      <alignment horizontal="center" readingOrder="0"/>
    </xf>
    <xf borderId="8" fillId="5" fontId="3" numFmtId="0" xfId="0" applyAlignment="1" applyBorder="1" applyFont="1">
      <alignment horizontal="center" readingOrder="0"/>
    </xf>
    <xf borderId="15" fillId="5" fontId="7" numFmtId="0" xfId="0" applyAlignment="1" applyBorder="1" applyFont="1">
      <alignment horizontal="center"/>
    </xf>
    <xf borderId="10" fillId="4" fontId="14" numFmtId="0" xfId="0" applyAlignment="1" applyBorder="1" applyFont="1">
      <alignment horizontal="center"/>
    </xf>
    <xf borderId="5" fillId="0" fontId="3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center" readingOrder="0"/>
    </xf>
    <xf borderId="0" fillId="0" fontId="10" numFmtId="0" xfId="0" applyAlignment="1" applyFont="1">
      <alignment horizontal="left" vertical="center"/>
    </xf>
    <xf borderId="9" fillId="4" fontId="3" numFmtId="0" xfId="0" applyAlignment="1" applyBorder="1" applyFont="1">
      <alignment horizontal="center"/>
    </xf>
    <xf borderId="9" fillId="0" fontId="8" numFmtId="0" xfId="0" applyAlignment="1" applyBorder="1" applyFont="1">
      <alignment horizontal="center" readingOrder="0" shrinkToFit="0" vertical="bottom" wrapText="0"/>
    </xf>
    <xf borderId="9" fillId="5" fontId="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12" fillId="0" fontId="8" numFmtId="0" xfId="0" applyAlignment="1" applyBorder="1" applyFont="1">
      <alignment horizontal="center" readingOrder="0" shrinkToFit="0" vertical="bottom" wrapText="0"/>
    </xf>
    <xf borderId="10" fillId="7" fontId="3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/>
    </xf>
    <xf borderId="9" fillId="0" fontId="10" numFmtId="0" xfId="0" applyAlignment="1" applyBorder="1" applyFont="1">
      <alignment horizontal="left"/>
    </xf>
    <xf borderId="9" fillId="0" fontId="14" numFmtId="0" xfId="0" applyBorder="1" applyFont="1"/>
    <xf borderId="9" fillId="0" fontId="10" numFmtId="0" xfId="0" applyBorder="1" applyFont="1"/>
    <xf borderId="9" fillId="0" fontId="15" numFmtId="0" xfId="0" applyBorder="1" applyFont="1"/>
    <xf borderId="9" fillId="5" fontId="15" numFmtId="0" xfId="0" applyAlignment="1" applyBorder="1" applyFont="1">
      <alignment horizontal="center"/>
    </xf>
    <xf borderId="9" fillId="0" fontId="3" numFmtId="0" xfId="0" applyBorder="1" applyFont="1"/>
    <xf borderId="9" fillId="0" fontId="7" numFmtId="0" xfId="0" applyBorder="1" applyFont="1"/>
    <xf borderId="9" fillId="0" fontId="1" numFmtId="0" xfId="0" applyBorder="1" applyFont="1"/>
    <xf borderId="9" fillId="11" fontId="10" numFmtId="0" xfId="0" applyAlignment="1" applyBorder="1" applyFill="1" applyFont="1">
      <alignment horizontal="center"/>
    </xf>
    <xf borderId="9" fillId="11" fontId="10" numFmtId="0" xfId="0" applyAlignment="1" applyBorder="1" applyFont="1">
      <alignment horizontal="left"/>
    </xf>
    <xf borderId="9" fillId="11" fontId="14" numFmtId="0" xfId="0" applyBorder="1" applyFont="1"/>
    <xf borderId="9" fillId="11" fontId="16" numFmtId="0" xfId="0" applyAlignment="1" applyBorder="1" applyFont="1">
      <alignment horizontal="center"/>
    </xf>
    <xf borderId="9" fillId="11" fontId="17" numFmtId="0" xfId="0" applyBorder="1" applyFont="1"/>
    <xf borderId="9" fillId="4" fontId="17" numFmtId="0" xfId="0" applyAlignment="1" applyBorder="1" applyFont="1">
      <alignment vertical="center"/>
    </xf>
    <xf borderId="9" fillId="11" fontId="18" numFmtId="0" xfId="0" applyBorder="1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0" numFmtId="0" xfId="0" applyFont="1"/>
    <xf borderId="0" fillId="0" fontId="15" numFmtId="0" xfId="0" applyFont="1"/>
    <xf borderId="0" fillId="0" fontId="19" numFmtId="0" xfId="0" applyFont="1"/>
    <xf borderId="0" fillId="0" fontId="19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0" numFmtId="0" xfId="0" applyAlignment="1" applyFont="1">
      <alignment vertical="center"/>
    </xf>
    <xf borderId="1" fillId="5" fontId="4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horizontal="left" vertical="center"/>
    </xf>
    <xf borderId="1" fillId="0" fontId="20" numFmtId="0" xfId="0" applyAlignment="1" applyBorder="1" applyFont="1">
      <alignment vertical="center"/>
    </xf>
    <xf borderId="9" fillId="5" fontId="3" numFmtId="0" xfId="0" applyAlignment="1" applyBorder="1" applyFont="1">
      <alignment horizontal="center" vertical="center"/>
    </xf>
    <xf borderId="9" fillId="5" fontId="1" numFmtId="0" xfId="0" applyAlignment="1" applyBorder="1" applyFont="1">
      <alignment horizontal="center"/>
    </xf>
    <xf borderId="8" fillId="5" fontId="3" numFmtId="0" xfId="0" applyAlignment="1" applyBorder="1" applyFont="1">
      <alignment horizontal="center"/>
    </xf>
    <xf borderId="9" fillId="5" fontId="3" numFmtId="0" xfId="0" applyAlignment="1" applyBorder="1" applyFont="1">
      <alignment horizontal="center"/>
    </xf>
    <xf borderId="14" fillId="12" fontId="10" numFmtId="0" xfId="0" applyAlignment="1" applyBorder="1" applyFill="1" applyFont="1">
      <alignment horizontal="center"/>
    </xf>
    <xf borderId="14" fillId="12" fontId="10" numFmtId="0" xfId="0" applyAlignment="1" applyBorder="1" applyFont="1">
      <alignment horizontal="left"/>
    </xf>
    <xf borderId="9" fillId="12" fontId="10" numFmtId="0" xfId="0" applyAlignment="1" applyBorder="1" applyFont="1">
      <alignment horizontal="center" vertical="center"/>
    </xf>
    <xf borderId="9" fillId="12" fontId="11" numFmtId="0" xfId="0" applyAlignment="1" applyBorder="1" applyFont="1">
      <alignment horizontal="center"/>
    </xf>
    <xf borderId="6" fillId="12" fontId="15" numFmtId="0" xfId="0" applyAlignment="1" applyBorder="1" applyFont="1">
      <alignment horizontal="center"/>
    </xf>
    <xf borderId="8" fillId="12" fontId="1" numFmtId="0" xfId="0" applyAlignment="1" applyBorder="1" applyFont="1">
      <alignment horizontal="center"/>
    </xf>
    <xf borderId="6" fillId="12" fontId="15" numFmtId="0" xfId="0" applyAlignment="1" applyBorder="1" applyFont="1">
      <alignment horizontal="right"/>
    </xf>
    <xf borderId="1" fillId="0" fontId="12" numFmtId="0" xfId="0" applyAlignment="1" applyBorder="1" applyFont="1">
      <alignment horizontal="left" vertical="center"/>
    </xf>
    <xf borderId="1" fillId="0" fontId="12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vertical="center"/>
    </xf>
    <xf borderId="9" fillId="12" fontId="11" numFmtId="0" xfId="0" applyAlignment="1" applyBorder="1" applyFont="1">
      <alignment horizontal="left"/>
    </xf>
    <xf borderId="9" fillId="12" fontId="11" numFmtId="0" xfId="0" applyAlignment="1" applyBorder="1" applyFont="1">
      <alignment vertical="center"/>
    </xf>
    <xf borderId="9" fillId="12" fontId="1" numFmtId="0" xfId="0" applyAlignment="1" applyBorder="1" applyFont="1">
      <alignment horizontal="center" vertical="center"/>
    </xf>
    <xf borderId="9" fillId="7" fontId="11" numFmtId="0" xfId="0" applyAlignment="1" applyBorder="1" applyFont="1">
      <alignment horizontal="center"/>
    </xf>
    <xf borderId="9" fillId="7" fontId="11" numFmtId="0" xfId="0" applyAlignment="1" applyBorder="1" applyFont="1">
      <alignment horizontal="left"/>
    </xf>
    <xf borderId="9" fillId="7" fontId="11" numFmtId="0" xfId="0" applyAlignment="1" applyBorder="1" applyFont="1">
      <alignment vertical="center"/>
    </xf>
    <xf borderId="9" fillId="7" fontId="1" numFmtId="0" xfId="0" applyAlignment="1" applyBorder="1" applyFont="1">
      <alignment horizontal="center" vertical="center"/>
    </xf>
    <xf borderId="14" fillId="7" fontId="14" numFmtId="0" xfId="0" applyBorder="1" applyFont="1"/>
    <xf borderId="11" fillId="0" fontId="10" numFmtId="0" xfId="0" applyAlignment="1" applyBorder="1" applyFont="1">
      <alignment horizontal="center" vertical="center"/>
    </xf>
    <xf borderId="16" fillId="5" fontId="4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horizontal="left" shrinkToFit="0" vertical="center" wrapText="1"/>
    </xf>
    <xf borderId="11" fillId="0" fontId="20" numFmtId="0" xfId="0" applyAlignment="1" applyBorder="1" applyFont="1">
      <alignment vertical="center"/>
    </xf>
    <xf borderId="10" fillId="5" fontId="3" numFmtId="0" xfId="0" applyAlignment="1" applyBorder="1" applyFont="1">
      <alignment horizontal="center" vertical="center"/>
    </xf>
    <xf borderId="14" fillId="12" fontId="10" numFmtId="0" xfId="0" applyAlignment="1" applyBorder="1" applyFont="1">
      <alignment vertical="center"/>
    </xf>
    <xf borderId="14" fillId="12" fontId="14" numFmtId="0" xfId="0" applyBorder="1" applyFont="1"/>
    <xf borderId="1" fillId="0" fontId="10" numFmtId="0" xfId="0" applyAlignment="1" applyBorder="1" applyFont="1">
      <alignment horizontal="left" vertical="center"/>
    </xf>
    <xf borderId="9" fillId="12" fontId="10" numFmtId="0" xfId="0" applyAlignment="1" applyBorder="1" applyFont="1">
      <alignment horizontal="center"/>
    </xf>
    <xf borderId="9" fillId="12" fontId="10" numFmtId="0" xfId="0" applyAlignment="1" applyBorder="1" applyFont="1">
      <alignment horizontal="left"/>
    </xf>
    <xf borderId="9" fillId="12" fontId="14" numFmtId="0" xfId="0" applyBorder="1" applyFont="1"/>
    <xf borderId="9" fillId="12" fontId="10" numFmtId="0" xfId="0" applyAlignment="1" applyBorder="1" applyFont="1">
      <alignment vertical="center"/>
    </xf>
    <xf borderId="9" fillId="13" fontId="10" numFmtId="0" xfId="0" applyAlignment="1" applyBorder="1" applyFill="1" applyFont="1">
      <alignment horizontal="center"/>
    </xf>
    <xf borderId="9" fillId="13" fontId="10" numFmtId="0" xfId="0" applyAlignment="1" applyBorder="1" applyFont="1">
      <alignment horizontal="left"/>
    </xf>
    <xf borderId="9" fillId="13" fontId="14" numFmtId="0" xfId="0" applyBorder="1" applyFont="1"/>
    <xf borderId="9" fillId="13" fontId="10" numFmtId="0" xfId="0" applyAlignment="1" applyBorder="1" applyFont="1">
      <alignment vertical="center"/>
    </xf>
    <xf borderId="9" fillId="13" fontId="11" numFmtId="0" xfId="0" applyAlignment="1" applyBorder="1" applyFont="1">
      <alignment horizontal="center"/>
    </xf>
    <xf borderId="9" fillId="13" fontId="1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0.0" ySplit="2.0" topLeftCell="K3" activePane="bottomRight" state="frozen"/>
      <selection activeCell="K1" sqref="K1" pane="topRight"/>
      <selection activeCell="A3" sqref="A3" pane="bottomLeft"/>
      <selection activeCell="K3" sqref="K3" pane="bottomRight"/>
    </sheetView>
  </sheetViews>
  <sheetFormatPr customHeight="1" defaultColWidth="12.63" defaultRowHeight="15.0"/>
  <cols>
    <col customWidth="1" min="1" max="1" width="4.13"/>
    <col customWidth="1" min="2" max="2" width="17.13"/>
    <col customWidth="1" min="3" max="3" width="11.38"/>
    <col customWidth="1" min="4" max="4" width="13.38"/>
    <col customWidth="1" min="5" max="5" width="45.63"/>
    <col customWidth="1" min="6" max="6" width="9.88"/>
    <col customWidth="1" min="7" max="7" width="10.0"/>
    <col customWidth="1" min="8" max="8" width="10.75"/>
    <col customWidth="1" min="9" max="9" width="15.63"/>
    <col customWidth="1" min="10" max="10" width="8.63"/>
    <col customWidth="1" min="11" max="12" width="6.63"/>
    <col customWidth="1" min="13" max="13" width="6.25"/>
    <col customWidth="1" min="14" max="14" width="6.75"/>
    <col customWidth="1" min="15" max="16" width="7.13"/>
    <col customWidth="1" min="17" max="17" width="6.88"/>
    <col customWidth="1" min="18" max="18" width="7.13"/>
    <col customWidth="1" min="19" max="20" width="6.88"/>
    <col customWidth="1" min="21" max="21" width="7.13"/>
    <col customWidth="1" min="22" max="22" width="6.75"/>
    <col customWidth="1" min="23" max="23" width="6.5"/>
    <col customWidth="1" min="24" max="24" width="7.25"/>
    <col customWidth="1" min="25" max="25" width="6.88"/>
    <col customWidth="1" min="26" max="26" width="7.13"/>
    <col customWidth="1" hidden="1" min="27" max="27" width="8.5"/>
    <col customWidth="1" hidden="1" min="28" max="28" width="6.5"/>
    <col customWidth="1" hidden="1" min="29" max="29" width="6.75"/>
    <col customWidth="1" hidden="1" min="30" max="30" width="7.13"/>
  </cols>
  <sheetData>
    <row r="1" ht="40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/>
      <c r="M1" s="7"/>
      <c r="N1" s="8"/>
      <c r="O1" s="6" t="s">
        <v>11</v>
      </c>
      <c r="P1" s="7"/>
      <c r="Q1" s="7"/>
      <c r="R1" s="8"/>
      <c r="S1" s="6" t="s">
        <v>12</v>
      </c>
      <c r="T1" s="7"/>
      <c r="U1" s="7"/>
      <c r="V1" s="8"/>
      <c r="W1" s="6" t="s">
        <v>13</v>
      </c>
      <c r="X1" s="7"/>
      <c r="Y1" s="7"/>
      <c r="Z1" s="8"/>
      <c r="AA1" s="9" t="s">
        <v>14</v>
      </c>
      <c r="AB1" s="9" t="s">
        <v>15</v>
      </c>
      <c r="AC1" s="9" t="s">
        <v>16</v>
      </c>
      <c r="AD1" s="9" t="s">
        <v>17</v>
      </c>
    </row>
    <row r="2" ht="21.0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1" t="s">
        <v>18</v>
      </c>
      <c r="L2" s="11" t="s">
        <v>19</v>
      </c>
      <c r="M2" s="11" t="s">
        <v>20</v>
      </c>
      <c r="N2" s="11" t="s">
        <v>21</v>
      </c>
      <c r="O2" s="11" t="s">
        <v>18</v>
      </c>
      <c r="P2" s="11" t="s">
        <v>19</v>
      </c>
      <c r="Q2" s="11" t="s">
        <v>20</v>
      </c>
      <c r="R2" s="11" t="s">
        <v>21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18</v>
      </c>
      <c r="X2" s="11" t="s">
        <v>19</v>
      </c>
      <c r="Y2" s="11" t="s">
        <v>20</v>
      </c>
      <c r="Z2" s="11" t="s">
        <v>21</v>
      </c>
      <c r="AA2" s="10"/>
      <c r="AB2" s="10"/>
      <c r="AC2" s="10"/>
      <c r="AD2" s="10"/>
    </row>
    <row r="3" ht="44.25" customHeight="1">
      <c r="A3" s="12">
        <v>1.0</v>
      </c>
      <c r="B3" s="13" t="s">
        <v>22</v>
      </c>
      <c r="C3" s="14" t="s">
        <v>23</v>
      </c>
      <c r="D3" s="15" t="s">
        <v>24</v>
      </c>
      <c r="E3" s="16" t="s">
        <v>25</v>
      </c>
      <c r="F3" s="17">
        <v>330.0</v>
      </c>
      <c r="G3" s="18">
        <v>5840.0</v>
      </c>
      <c r="H3" s="18">
        <v>2500.0</v>
      </c>
      <c r="I3" s="18">
        <f>SUM(G3:H3)</f>
        <v>8340</v>
      </c>
      <c r="J3" s="19">
        <v>65.0</v>
      </c>
      <c r="K3" s="20">
        <v>104.0</v>
      </c>
      <c r="L3" s="21">
        <v>43.0</v>
      </c>
      <c r="M3" s="21">
        <v>1.0</v>
      </c>
      <c r="N3" s="22">
        <f t="shared" ref="N3:N16" si="1">SUM(K3:M3)</f>
        <v>148</v>
      </c>
      <c r="O3" s="20">
        <v>11.0</v>
      </c>
      <c r="P3" s="21">
        <v>17.0</v>
      </c>
      <c r="Q3" s="21">
        <v>0.0</v>
      </c>
      <c r="R3" s="22">
        <f t="shared" ref="R3:R16" si="2">SUM(O3:Q3)</f>
        <v>28</v>
      </c>
      <c r="S3" s="20">
        <v>93.0</v>
      </c>
      <c r="T3" s="21">
        <v>26.0</v>
      </c>
      <c r="U3" s="21">
        <v>1.0</v>
      </c>
      <c r="V3" s="22">
        <f t="shared" ref="V3:V16" si="3">SUM(S3:U3)</f>
        <v>120</v>
      </c>
      <c r="W3" s="20">
        <v>64.0</v>
      </c>
      <c r="X3" s="21">
        <v>18.0</v>
      </c>
      <c r="Y3" s="21">
        <v>0.0</v>
      </c>
      <c r="Z3" s="22">
        <f t="shared" ref="Z3:Z16" si="4">SUM(W3:Y3)</f>
        <v>82</v>
      </c>
      <c r="AA3" s="23"/>
      <c r="AB3" s="23"/>
      <c r="AC3" s="23"/>
      <c r="AD3" s="23"/>
    </row>
    <row r="4" ht="32.25" customHeight="1">
      <c r="A4" s="12"/>
      <c r="B4" s="24"/>
      <c r="C4" s="24"/>
      <c r="D4" s="10"/>
      <c r="E4" s="16" t="s">
        <v>26</v>
      </c>
      <c r="F4" s="25">
        <v>540.0</v>
      </c>
      <c r="G4" s="24"/>
      <c r="H4" s="24"/>
      <c r="I4" s="24"/>
      <c r="J4" s="26">
        <v>162.0</v>
      </c>
      <c r="K4" s="27">
        <v>206.0</v>
      </c>
      <c r="L4" s="28">
        <v>107.0</v>
      </c>
      <c r="M4" s="28">
        <v>17.0</v>
      </c>
      <c r="N4" s="29">
        <f t="shared" si="1"/>
        <v>330</v>
      </c>
      <c r="O4" s="27">
        <v>143.0</v>
      </c>
      <c r="P4" s="28">
        <v>51.0</v>
      </c>
      <c r="Q4" s="28">
        <v>16.0</v>
      </c>
      <c r="R4" s="29">
        <f t="shared" si="2"/>
        <v>210</v>
      </c>
      <c r="S4" s="27">
        <v>63.0</v>
      </c>
      <c r="T4" s="28">
        <v>56.0</v>
      </c>
      <c r="U4" s="28">
        <v>1.0</v>
      </c>
      <c r="V4" s="29">
        <f t="shared" si="3"/>
        <v>120</v>
      </c>
      <c r="W4" s="27">
        <v>25.0</v>
      </c>
      <c r="X4" s="28">
        <v>29.0</v>
      </c>
      <c r="Y4" s="28">
        <v>0.0</v>
      </c>
      <c r="Z4" s="29">
        <f t="shared" si="4"/>
        <v>54</v>
      </c>
      <c r="AA4" s="23"/>
      <c r="AB4" s="23"/>
      <c r="AC4" s="23"/>
      <c r="AD4" s="23"/>
    </row>
    <row r="5" ht="15.75" customHeight="1">
      <c r="A5" s="12"/>
      <c r="B5" s="24"/>
      <c r="C5" s="24"/>
      <c r="D5" s="15" t="s">
        <v>27</v>
      </c>
      <c r="E5" s="16" t="s">
        <v>28</v>
      </c>
      <c r="F5" s="25">
        <v>90.0</v>
      </c>
      <c r="G5" s="24"/>
      <c r="H5" s="24"/>
      <c r="I5" s="24"/>
      <c r="J5" s="26">
        <v>17.0</v>
      </c>
      <c r="K5" s="27">
        <v>18.0</v>
      </c>
      <c r="L5" s="28">
        <v>9.0</v>
      </c>
      <c r="M5" s="28">
        <v>3.0</v>
      </c>
      <c r="N5" s="29">
        <f t="shared" si="1"/>
        <v>30</v>
      </c>
      <c r="O5" s="27">
        <v>0.0</v>
      </c>
      <c r="P5" s="28">
        <v>0.0</v>
      </c>
      <c r="Q5" s="28">
        <v>0.0</v>
      </c>
      <c r="R5" s="29">
        <f t="shared" si="2"/>
        <v>0</v>
      </c>
      <c r="S5" s="27">
        <v>18.0</v>
      </c>
      <c r="T5" s="28">
        <v>9.0</v>
      </c>
      <c r="U5" s="28">
        <v>3.0</v>
      </c>
      <c r="V5" s="29">
        <f t="shared" si="3"/>
        <v>30</v>
      </c>
      <c r="W5" s="27">
        <v>2.0</v>
      </c>
      <c r="X5" s="28">
        <v>0.0</v>
      </c>
      <c r="Y5" s="28">
        <v>1.0</v>
      </c>
      <c r="Z5" s="29">
        <f t="shared" si="4"/>
        <v>3</v>
      </c>
      <c r="AA5" s="23"/>
      <c r="AB5" s="23"/>
      <c r="AC5" s="23"/>
      <c r="AD5" s="23"/>
    </row>
    <row r="6" ht="15.75" customHeight="1">
      <c r="A6" s="12"/>
      <c r="B6" s="24"/>
      <c r="C6" s="24"/>
      <c r="D6" s="24"/>
      <c r="E6" s="30" t="s">
        <v>29</v>
      </c>
      <c r="F6" s="25">
        <v>90.0</v>
      </c>
      <c r="G6" s="24"/>
      <c r="H6" s="24"/>
      <c r="I6" s="24"/>
      <c r="J6" s="26">
        <v>39.0</v>
      </c>
      <c r="K6" s="27">
        <v>46.0</v>
      </c>
      <c r="L6" s="28">
        <v>53.0</v>
      </c>
      <c r="M6" s="28">
        <v>6.0</v>
      </c>
      <c r="N6" s="29">
        <f t="shared" si="1"/>
        <v>105</v>
      </c>
      <c r="O6" s="27">
        <v>14.0</v>
      </c>
      <c r="P6" s="28">
        <v>13.0</v>
      </c>
      <c r="Q6" s="28">
        <v>3.0</v>
      </c>
      <c r="R6" s="29">
        <f t="shared" si="2"/>
        <v>30</v>
      </c>
      <c r="S6" s="27">
        <v>32.0</v>
      </c>
      <c r="T6" s="28">
        <v>40.0</v>
      </c>
      <c r="U6" s="28">
        <v>3.0</v>
      </c>
      <c r="V6" s="29">
        <f t="shared" si="3"/>
        <v>75</v>
      </c>
      <c r="W6" s="27">
        <v>21.0</v>
      </c>
      <c r="X6" s="28">
        <v>12.0</v>
      </c>
      <c r="Y6" s="28">
        <v>0.0</v>
      </c>
      <c r="Z6" s="29">
        <f t="shared" si="4"/>
        <v>33</v>
      </c>
      <c r="AA6" s="23"/>
      <c r="AB6" s="23"/>
      <c r="AC6" s="23"/>
      <c r="AD6" s="23"/>
    </row>
    <row r="7" ht="28.5" customHeight="1">
      <c r="A7" s="12"/>
      <c r="B7" s="24"/>
      <c r="C7" s="24"/>
      <c r="D7" s="24"/>
      <c r="E7" s="31" t="s">
        <v>30</v>
      </c>
      <c r="F7" s="32">
        <v>360.0</v>
      </c>
      <c r="G7" s="24"/>
      <c r="H7" s="24"/>
      <c r="I7" s="24"/>
      <c r="J7" s="26">
        <v>212.0</v>
      </c>
      <c r="K7" s="27">
        <v>279.0</v>
      </c>
      <c r="L7" s="28">
        <v>88.0</v>
      </c>
      <c r="M7" s="28">
        <v>7.0</v>
      </c>
      <c r="N7" s="29">
        <f t="shared" si="1"/>
        <v>374</v>
      </c>
      <c r="O7" s="27">
        <v>186.0</v>
      </c>
      <c r="P7" s="28">
        <v>78.0</v>
      </c>
      <c r="Q7" s="28">
        <v>7.0</v>
      </c>
      <c r="R7" s="29">
        <f t="shared" si="2"/>
        <v>271</v>
      </c>
      <c r="S7" s="27">
        <v>93.0</v>
      </c>
      <c r="T7" s="28">
        <v>10.0</v>
      </c>
      <c r="U7" s="28">
        <v>0.0</v>
      </c>
      <c r="V7" s="29">
        <f t="shared" si="3"/>
        <v>103</v>
      </c>
      <c r="W7" s="27">
        <v>71.0</v>
      </c>
      <c r="X7" s="28">
        <v>5.0</v>
      </c>
      <c r="Y7" s="28">
        <v>0.0</v>
      </c>
      <c r="Z7" s="29">
        <f t="shared" si="4"/>
        <v>76</v>
      </c>
      <c r="AA7" s="23"/>
      <c r="AB7" s="23"/>
      <c r="AC7" s="23"/>
      <c r="AD7" s="23"/>
    </row>
    <row r="8" ht="15.75" customHeight="1">
      <c r="A8" s="12"/>
      <c r="B8" s="24"/>
      <c r="C8" s="24"/>
      <c r="D8" s="24"/>
      <c r="E8" s="16" t="s">
        <v>31</v>
      </c>
      <c r="F8" s="25">
        <v>210.0</v>
      </c>
      <c r="G8" s="24"/>
      <c r="H8" s="24"/>
      <c r="I8" s="24"/>
      <c r="J8" s="26">
        <v>87.0</v>
      </c>
      <c r="K8" s="27">
        <v>72.0</v>
      </c>
      <c r="L8" s="28">
        <v>69.0</v>
      </c>
      <c r="M8" s="28">
        <v>4.0</v>
      </c>
      <c r="N8" s="29">
        <f t="shared" si="1"/>
        <v>145</v>
      </c>
      <c r="O8" s="27">
        <v>0.0</v>
      </c>
      <c r="P8" s="28">
        <v>0.0</v>
      </c>
      <c r="Q8" s="28">
        <v>0.0</v>
      </c>
      <c r="R8" s="29">
        <f t="shared" si="2"/>
        <v>0</v>
      </c>
      <c r="S8" s="27">
        <v>72.0</v>
      </c>
      <c r="T8" s="28">
        <v>69.0</v>
      </c>
      <c r="U8" s="28">
        <v>4.0</v>
      </c>
      <c r="V8" s="29">
        <f t="shared" si="3"/>
        <v>145</v>
      </c>
      <c r="W8" s="27">
        <v>62.0</v>
      </c>
      <c r="X8" s="28">
        <v>49.0</v>
      </c>
      <c r="Y8" s="28">
        <v>3.0</v>
      </c>
      <c r="Z8" s="29">
        <f t="shared" si="4"/>
        <v>114</v>
      </c>
      <c r="AA8" s="23"/>
      <c r="AB8" s="23"/>
      <c r="AC8" s="23"/>
      <c r="AD8" s="23"/>
    </row>
    <row r="9" ht="15.75" customHeight="1">
      <c r="A9" s="12"/>
      <c r="B9" s="24"/>
      <c r="C9" s="24"/>
      <c r="D9" s="24"/>
      <c r="E9" s="16" t="s">
        <v>32</v>
      </c>
      <c r="F9" s="25">
        <v>210.0</v>
      </c>
      <c r="G9" s="24"/>
      <c r="H9" s="24"/>
      <c r="I9" s="24"/>
      <c r="J9" s="26">
        <v>219.0</v>
      </c>
      <c r="K9" s="27">
        <v>254.0</v>
      </c>
      <c r="L9" s="28">
        <v>146.0</v>
      </c>
      <c r="M9" s="28">
        <v>21.0</v>
      </c>
      <c r="N9" s="29">
        <f t="shared" si="1"/>
        <v>421</v>
      </c>
      <c r="O9" s="27">
        <v>81.0</v>
      </c>
      <c r="P9" s="28">
        <v>53.0</v>
      </c>
      <c r="Q9" s="28">
        <v>8.0</v>
      </c>
      <c r="R9" s="29">
        <f t="shared" si="2"/>
        <v>142</v>
      </c>
      <c r="S9" s="27">
        <v>173.0</v>
      </c>
      <c r="T9" s="28">
        <v>93.0</v>
      </c>
      <c r="U9" s="28">
        <v>13.0</v>
      </c>
      <c r="V9" s="29">
        <f t="shared" si="3"/>
        <v>279</v>
      </c>
      <c r="W9" s="27">
        <v>104.0</v>
      </c>
      <c r="X9" s="28">
        <v>72.0</v>
      </c>
      <c r="Y9" s="28">
        <v>9.0</v>
      </c>
      <c r="Z9" s="29">
        <f t="shared" si="4"/>
        <v>185</v>
      </c>
      <c r="AA9" s="23"/>
      <c r="AB9" s="23"/>
      <c r="AC9" s="23"/>
      <c r="AD9" s="23"/>
    </row>
    <row r="10" ht="15.75" customHeight="1">
      <c r="A10" s="12"/>
      <c r="B10" s="24"/>
      <c r="C10" s="24"/>
      <c r="D10" s="10"/>
      <c r="E10" s="16" t="s">
        <v>33</v>
      </c>
      <c r="F10" s="25">
        <v>90.0</v>
      </c>
      <c r="G10" s="24"/>
      <c r="H10" s="24"/>
      <c r="I10" s="24"/>
      <c r="J10" s="26">
        <v>34.0</v>
      </c>
      <c r="K10" s="27">
        <v>26.0</v>
      </c>
      <c r="L10" s="28">
        <v>31.0</v>
      </c>
      <c r="M10" s="28">
        <v>3.0</v>
      </c>
      <c r="N10" s="29">
        <f t="shared" si="1"/>
        <v>60</v>
      </c>
      <c r="O10" s="27">
        <v>0.0</v>
      </c>
      <c r="P10" s="28">
        <v>2.0</v>
      </c>
      <c r="Q10" s="28">
        <v>0.0</v>
      </c>
      <c r="R10" s="29">
        <f t="shared" si="2"/>
        <v>2</v>
      </c>
      <c r="S10" s="27">
        <v>26.0</v>
      </c>
      <c r="T10" s="28">
        <v>29.0</v>
      </c>
      <c r="U10" s="28">
        <v>3.0</v>
      </c>
      <c r="V10" s="29">
        <f t="shared" si="3"/>
        <v>58</v>
      </c>
      <c r="W10" s="27">
        <v>16.0</v>
      </c>
      <c r="X10" s="28">
        <v>11.0</v>
      </c>
      <c r="Y10" s="28">
        <v>3.0</v>
      </c>
      <c r="Z10" s="29">
        <f t="shared" si="4"/>
        <v>30</v>
      </c>
      <c r="AA10" s="23"/>
      <c r="AB10" s="23"/>
      <c r="AC10" s="23"/>
      <c r="AD10" s="23"/>
    </row>
    <row r="11" ht="15.75" customHeight="1">
      <c r="A11" s="12"/>
      <c r="B11" s="24"/>
      <c r="C11" s="24"/>
      <c r="D11" s="33" t="s">
        <v>34</v>
      </c>
      <c r="E11" s="34" t="s">
        <v>35</v>
      </c>
      <c r="F11" s="25">
        <v>90.0</v>
      </c>
      <c r="G11" s="24"/>
      <c r="H11" s="24"/>
      <c r="I11" s="24"/>
      <c r="J11" s="26">
        <v>0.0</v>
      </c>
      <c r="K11" s="35">
        <v>0.0</v>
      </c>
      <c r="L11" s="35">
        <v>0.0</v>
      </c>
      <c r="M11" s="35">
        <v>0.0</v>
      </c>
      <c r="N11" s="36">
        <f t="shared" si="1"/>
        <v>0</v>
      </c>
      <c r="O11" s="35">
        <v>0.0</v>
      </c>
      <c r="P11" s="35">
        <v>0.0</v>
      </c>
      <c r="Q11" s="35">
        <v>0.0</v>
      </c>
      <c r="R11" s="36">
        <f t="shared" si="2"/>
        <v>0</v>
      </c>
      <c r="S11" s="35">
        <v>0.0</v>
      </c>
      <c r="T11" s="35">
        <v>0.0</v>
      </c>
      <c r="U11" s="35">
        <v>0.0</v>
      </c>
      <c r="V11" s="36">
        <f t="shared" si="3"/>
        <v>0</v>
      </c>
      <c r="W11" s="35">
        <v>0.0</v>
      </c>
      <c r="X11" s="35">
        <v>0.0</v>
      </c>
      <c r="Y11" s="35">
        <v>0.0</v>
      </c>
      <c r="Z11" s="36">
        <f t="shared" si="4"/>
        <v>0</v>
      </c>
      <c r="AA11" s="37"/>
      <c r="AB11" s="37"/>
      <c r="AC11" s="37"/>
      <c r="AD11" s="37"/>
    </row>
    <row r="12" ht="15.75" customHeight="1">
      <c r="A12" s="12"/>
      <c r="B12" s="24"/>
      <c r="C12" s="24"/>
      <c r="D12" s="24"/>
      <c r="E12" s="34" t="s">
        <v>36</v>
      </c>
      <c r="F12" s="25">
        <v>90.0</v>
      </c>
      <c r="G12" s="24"/>
      <c r="H12" s="24"/>
      <c r="I12" s="24"/>
      <c r="J12" s="26">
        <v>0.0</v>
      </c>
      <c r="K12" s="38">
        <v>0.0</v>
      </c>
      <c r="L12" s="38">
        <v>0.0</v>
      </c>
      <c r="M12" s="38">
        <v>0.0</v>
      </c>
      <c r="N12" s="36">
        <f t="shared" si="1"/>
        <v>0</v>
      </c>
      <c r="O12" s="38">
        <v>0.0</v>
      </c>
      <c r="P12" s="38">
        <v>0.0</v>
      </c>
      <c r="Q12" s="38">
        <v>0.0</v>
      </c>
      <c r="R12" s="36">
        <f t="shared" si="2"/>
        <v>0</v>
      </c>
      <c r="S12" s="38">
        <v>0.0</v>
      </c>
      <c r="T12" s="38">
        <v>0.0</v>
      </c>
      <c r="U12" s="38">
        <v>0.0</v>
      </c>
      <c r="V12" s="36">
        <f t="shared" si="3"/>
        <v>0</v>
      </c>
      <c r="W12" s="38">
        <v>0.0</v>
      </c>
      <c r="X12" s="38">
        <v>0.0</v>
      </c>
      <c r="Y12" s="38">
        <v>0.0</v>
      </c>
      <c r="Z12" s="36">
        <f t="shared" si="4"/>
        <v>0</v>
      </c>
      <c r="AA12" s="37"/>
      <c r="AB12" s="37"/>
      <c r="AC12" s="37"/>
      <c r="AD12" s="37"/>
    </row>
    <row r="13" ht="15.75" customHeight="1">
      <c r="A13" s="12"/>
      <c r="B13" s="24"/>
      <c r="C13" s="24"/>
      <c r="D13" s="24"/>
      <c r="E13" s="39" t="s">
        <v>37</v>
      </c>
      <c r="F13" s="32">
        <v>360.0</v>
      </c>
      <c r="G13" s="24"/>
      <c r="H13" s="24"/>
      <c r="I13" s="24"/>
      <c r="J13" s="26">
        <v>0.0</v>
      </c>
      <c r="K13" s="38">
        <v>0.0</v>
      </c>
      <c r="L13" s="38">
        <v>0.0</v>
      </c>
      <c r="M13" s="38">
        <v>0.0</v>
      </c>
      <c r="N13" s="36">
        <f t="shared" si="1"/>
        <v>0</v>
      </c>
      <c r="O13" s="38">
        <v>0.0</v>
      </c>
      <c r="P13" s="38">
        <v>0.0</v>
      </c>
      <c r="Q13" s="38">
        <v>0.0</v>
      </c>
      <c r="R13" s="36">
        <f t="shared" si="2"/>
        <v>0</v>
      </c>
      <c r="S13" s="38">
        <v>0.0</v>
      </c>
      <c r="T13" s="38">
        <v>0.0</v>
      </c>
      <c r="U13" s="38">
        <v>0.0</v>
      </c>
      <c r="V13" s="36">
        <f t="shared" si="3"/>
        <v>0</v>
      </c>
      <c r="W13" s="38">
        <v>0.0</v>
      </c>
      <c r="X13" s="38">
        <v>0.0</v>
      </c>
      <c r="Y13" s="38">
        <v>0.0</v>
      </c>
      <c r="Z13" s="36">
        <f t="shared" si="4"/>
        <v>0</v>
      </c>
      <c r="AA13" s="37"/>
      <c r="AB13" s="37"/>
      <c r="AC13" s="37"/>
      <c r="AD13" s="37"/>
    </row>
    <row r="14" ht="15.75" customHeight="1">
      <c r="A14" s="12"/>
      <c r="B14" s="24"/>
      <c r="C14" s="24"/>
      <c r="D14" s="24"/>
      <c r="E14" s="34" t="s">
        <v>38</v>
      </c>
      <c r="F14" s="25">
        <v>390.0</v>
      </c>
      <c r="G14" s="24"/>
      <c r="H14" s="24"/>
      <c r="I14" s="24"/>
      <c r="J14" s="26">
        <v>0.0</v>
      </c>
      <c r="K14" s="38">
        <v>0.0</v>
      </c>
      <c r="L14" s="38">
        <v>0.0</v>
      </c>
      <c r="M14" s="38">
        <v>0.0</v>
      </c>
      <c r="N14" s="36">
        <f t="shared" si="1"/>
        <v>0</v>
      </c>
      <c r="O14" s="38">
        <v>0.0</v>
      </c>
      <c r="P14" s="38">
        <v>0.0</v>
      </c>
      <c r="Q14" s="38">
        <v>0.0</v>
      </c>
      <c r="R14" s="36">
        <f t="shared" si="2"/>
        <v>0</v>
      </c>
      <c r="S14" s="38">
        <v>0.0</v>
      </c>
      <c r="T14" s="38">
        <v>0.0</v>
      </c>
      <c r="U14" s="38">
        <v>0.0</v>
      </c>
      <c r="V14" s="36">
        <f t="shared" si="3"/>
        <v>0</v>
      </c>
      <c r="W14" s="38">
        <v>0.0</v>
      </c>
      <c r="X14" s="38">
        <v>0.0</v>
      </c>
      <c r="Y14" s="38">
        <v>0.0</v>
      </c>
      <c r="Z14" s="36">
        <f t="shared" si="4"/>
        <v>0</v>
      </c>
      <c r="AA14" s="37"/>
      <c r="AB14" s="37"/>
      <c r="AC14" s="37"/>
      <c r="AD14" s="37"/>
    </row>
    <row r="15" ht="15.75" customHeight="1">
      <c r="A15" s="12"/>
      <c r="B15" s="24"/>
      <c r="C15" s="24"/>
      <c r="D15" s="24"/>
      <c r="E15" s="34" t="s">
        <v>39</v>
      </c>
      <c r="F15" s="25">
        <v>150.0</v>
      </c>
      <c r="G15" s="24"/>
      <c r="H15" s="24"/>
      <c r="I15" s="24"/>
      <c r="J15" s="26">
        <v>0.0</v>
      </c>
      <c r="K15" s="38">
        <v>0.0</v>
      </c>
      <c r="L15" s="38">
        <v>0.0</v>
      </c>
      <c r="M15" s="38">
        <v>0.0</v>
      </c>
      <c r="N15" s="36">
        <f t="shared" si="1"/>
        <v>0</v>
      </c>
      <c r="O15" s="38">
        <v>0.0</v>
      </c>
      <c r="P15" s="38">
        <v>0.0</v>
      </c>
      <c r="Q15" s="38">
        <v>0.0</v>
      </c>
      <c r="R15" s="36">
        <f t="shared" si="2"/>
        <v>0</v>
      </c>
      <c r="S15" s="38">
        <v>0.0</v>
      </c>
      <c r="T15" s="38">
        <v>0.0</v>
      </c>
      <c r="U15" s="38">
        <v>0.0</v>
      </c>
      <c r="V15" s="36">
        <f t="shared" si="3"/>
        <v>0</v>
      </c>
      <c r="W15" s="38">
        <v>0.0</v>
      </c>
      <c r="X15" s="38">
        <v>0.0</v>
      </c>
      <c r="Y15" s="38">
        <v>0.0</v>
      </c>
      <c r="Z15" s="36">
        <f t="shared" si="4"/>
        <v>0</v>
      </c>
      <c r="AA15" s="37"/>
      <c r="AB15" s="37"/>
      <c r="AC15" s="37"/>
      <c r="AD15" s="37"/>
    </row>
    <row r="16" ht="15.75" customHeight="1">
      <c r="A16" s="12"/>
      <c r="B16" s="40"/>
      <c r="C16" s="40"/>
      <c r="D16" s="10"/>
      <c r="E16" s="34" t="s">
        <v>40</v>
      </c>
      <c r="F16" s="25">
        <v>90.0</v>
      </c>
      <c r="G16" s="10"/>
      <c r="H16" s="10"/>
      <c r="I16" s="10"/>
      <c r="J16" s="26">
        <v>0.0</v>
      </c>
      <c r="K16" s="38">
        <v>0.0</v>
      </c>
      <c r="L16" s="38">
        <v>0.0</v>
      </c>
      <c r="M16" s="38">
        <v>0.0</v>
      </c>
      <c r="N16" s="36">
        <f t="shared" si="1"/>
        <v>0</v>
      </c>
      <c r="O16" s="38">
        <v>0.0</v>
      </c>
      <c r="P16" s="38">
        <v>0.0</v>
      </c>
      <c r="Q16" s="38">
        <v>0.0</v>
      </c>
      <c r="R16" s="36">
        <f t="shared" si="2"/>
        <v>0</v>
      </c>
      <c r="S16" s="38">
        <v>0.0</v>
      </c>
      <c r="T16" s="38">
        <v>0.0</v>
      </c>
      <c r="U16" s="38">
        <v>0.0</v>
      </c>
      <c r="V16" s="36">
        <f t="shared" si="3"/>
        <v>0</v>
      </c>
      <c r="W16" s="38">
        <v>0.0</v>
      </c>
      <c r="X16" s="38">
        <v>0.0</v>
      </c>
      <c r="Y16" s="38">
        <v>0.0</v>
      </c>
      <c r="Z16" s="36">
        <f t="shared" si="4"/>
        <v>0</v>
      </c>
      <c r="AA16" s="37"/>
      <c r="AB16" s="37"/>
      <c r="AC16" s="37"/>
      <c r="AD16" s="37"/>
    </row>
    <row r="17" ht="15.75" customHeight="1">
      <c r="A17" s="41"/>
      <c r="B17" s="42"/>
      <c r="C17" s="42"/>
      <c r="D17" s="42"/>
      <c r="E17" s="43" t="s">
        <v>21</v>
      </c>
      <c r="F17" s="44"/>
      <c r="G17" s="44">
        <f t="shared" ref="G17:I17" si="5">SUM(G3)</f>
        <v>5840</v>
      </c>
      <c r="H17" s="44">
        <f t="shared" si="5"/>
        <v>2500</v>
      </c>
      <c r="I17" s="44">
        <f t="shared" si="5"/>
        <v>8340</v>
      </c>
      <c r="J17" s="45">
        <f t="shared" ref="J17:Z17" si="6">sum(J3:J16)</f>
        <v>835</v>
      </c>
      <c r="K17" s="46">
        <f t="shared" si="6"/>
        <v>1005</v>
      </c>
      <c r="L17" s="46">
        <f t="shared" si="6"/>
        <v>546</v>
      </c>
      <c r="M17" s="46">
        <f t="shared" si="6"/>
        <v>62</v>
      </c>
      <c r="N17" s="46">
        <f t="shared" si="6"/>
        <v>1613</v>
      </c>
      <c r="O17" s="46">
        <f t="shared" si="6"/>
        <v>435</v>
      </c>
      <c r="P17" s="46">
        <f t="shared" si="6"/>
        <v>214</v>
      </c>
      <c r="Q17" s="46">
        <f t="shared" si="6"/>
        <v>34</v>
      </c>
      <c r="R17" s="46">
        <f t="shared" si="6"/>
        <v>683</v>
      </c>
      <c r="S17" s="46">
        <f t="shared" si="6"/>
        <v>570</v>
      </c>
      <c r="T17" s="46">
        <f t="shared" si="6"/>
        <v>332</v>
      </c>
      <c r="U17" s="46">
        <f t="shared" si="6"/>
        <v>28</v>
      </c>
      <c r="V17" s="46">
        <f t="shared" si="6"/>
        <v>930</v>
      </c>
      <c r="W17" s="46">
        <f t="shared" si="6"/>
        <v>365</v>
      </c>
      <c r="X17" s="46">
        <f t="shared" si="6"/>
        <v>196</v>
      </c>
      <c r="Y17" s="46">
        <f t="shared" si="6"/>
        <v>16</v>
      </c>
      <c r="Z17" s="46">
        <f t="shared" si="6"/>
        <v>577</v>
      </c>
      <c r="AA17" s="37"/>
      <c r="AB17" s="37"/>
      <c r="AC17" s="37"/>
      <c r="AD17" s="37"/>
    </row>
    <row r="18" ht="15.75" customHeight="1">
      <c r="A18" s="47"/>
      <c r="B18" s="48"/>
      <c r="C18" s="49"/>
      <c r="D18" s="49"/>
      <c r="E18" s="50"/>
      <c r="F18" s="50"/>
      <c r="G18" s="51"/>
      <c r="H18" s="51"/>
      <c r="I18" s="51"/>
      <c r="J18" s="52"/>
      <c r="K18" s="53"/>
      <c r="L18" s="53"/>
      <c r="M18" s="53"/>
      <c r="N18" s="51"/>
      <c r="O18" s="54"/>
      <c r="P18" s="54"/>
      <c r="Q18" s="54"/>
      <c r="R18" s="51"/>
      <c r="S18" s="54"/>
      <c r="T18" s="54"/>
      <c r="U18" s="54"/>
      <c r="V18" s="51"/>
      <c r="W18" s="54"/>
      <c r="X18" s="54"/>
      <c r="Y18" s="54"/>
      <c r="Z18" s="51"/>
      <c r="AA18" s="51"/>
      <c r="AB18" s="51"/>
      <c r="AC18" s="51"/>
      <c r="AD18" s="51"/>
    </row>
    <row r="19" ht="24.0" customHeight="1">
      <c r="A19" s="55">
        <v>2.0</v>
      </c>
      <c r="B19" s="13" t="s">
        <v>41</v>
      </c>
      <c r="C19" s="56" t="s">
        <v>42</v>
      </c>
      <c r="D19" s="15" t="s">
        <v>24</v>
      </c>
      <c r="E19" s="30" t="s">
        <v>25</v>
      </c>
      <c r="F19" s="17">
        <v>330.0</v>
      </c>
      <c r="G19" s="18">
        <v>5840.0</v>
      </c>
      <c r="H19" s="18">
        <v>2500.0</v>
      </c>
      <c r="I19" s="18">
        <f>SUM(G19:H19)</f>
        <v>8340</v>
      </c>
      <c r="J19" s="57">
        <v>179.0</v>
      </c>
      <c r="K19" s="58">
        <v>152.0</v>
      </c>
      <c r="L19" s="59">
        <v>119.0</v>
      </c>
      <c r="M19" s="59">
        <v>39.0</v>
      </c>
      <c r="N19" s="60">
        <f t="shared" ref="N19:N32" si="8">SUM(K19:M19)</f>
        <v>310</v>
      </c>
      <c r="O19" s="58">
        <v>76.0</v>
      </c>
      <c r="P19" s="59">
        <v>15.0</v>
      </c>
      <c r="Q19" s="59">
        <v>39.0</v>
      </c>
      <c r="R19" s="60">
        <f t="shared" ref="R19:R32" si="9">SUM(O19:Q19)</f>
        <v>130</v>
      </c>
      <c r="S19" s="58">
        <v>76.0</v>
      </c>
      <c r="T19" s="59">
        <v>104.0</v>
      </c>
      <c r="U19" s="59">
        <v>0.0</v>
      </c>
      <c r="V19" s="60">
        <f t="shared" ref="V19:V32" si="10">SUM(S19:U19)</f>
        <v>180</v>
      </c>
      <c r="W19" s="58">
        <v>25.0</v>
      </c>
      <c r="X19" s="59">
        <v>35.0</v>
      </c>
      <c r="Y19" s="59">
        <v>0.0</v>
      </c>
      <c r="Z19" s="60">
        <f t="shared" ref="Z19:Z32" si="11">SUM(W19:Y19)</f>
        <v>60</v>
      </c>
      <c r="AA19" s="61">
        <f t="shared" ref="AA19:AD19" si="7">K19+O19+S19+W19</f>
        <v>329</v>
      </c>
      <c r="AB19" s="62">
        <f t="shared" si="7"/>
        <v>273</v>
      </c>
      <c r="AC19" s="62">
        <f t="shared" si="7"/>
        <v>78</v>
      </c>
      <c r="AD19" s="62">
        <f t="shared" si="7"/>
        <v>680</v>
      </c>
      <c r="AJ19" s="63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</row>
    <row r="20" ht="19.5" customHeight="1">
      <c r="A20" s="55"/>
      <c r="B20" s="24"/>
      <c r="C20" s="24"/>
      <c r="D20" s="10"/>
      <c r="E20" s="30" t="s">
        <v>26</v>
      </c>
      <c r="F20" s="25">
        <v>540.0</v>
      </c>
      <c r="G20" s="24"/>
      <c r="H20" s="24"/>
      <c r="I20" s="24"/>
      <c r="J20" s="65">
        <v>33.0</v>
      </c>
      <c r="K20" s="58">
        <v>5.0</v>
      </c>
      <c r="L20" s="59">
        <v>41.0</v>
      </c>
      <c r="M20" s="59">
        <v>0.0</v>
      </c>
      <c r="N20" s="60">
        <f t="shared" si="8"/>
        <v>46</v>
      </c>
      <c r="O20" s="58">
        <v>5.0</v>
      </c>
      <c r="P20" s="59">
        <v>41.0</v>
      </c>
      <c r="Q20" s="59">
        <v>0.0</v>
      </c>
      <c r="R20" s="60">
        <f t="shared" si="9"/>
        <v>46</v>
      </c>
      <c r="S20" s="58">
        <v>0.0</v>
      </c>
      <c r="T20" s="59">
        <v>0.0</v>
      </c>
      <c r="U20" s="59">
        <v>0.0</v>
      </c>
      <c r="V20" s="60">
        <f t="shared" si="10"/>
        <v>0</v>
      </c>
      <c r="W20" s="58">
        <v>0.0</v>
      </c>
      <c r="X20" s="59">
        <v>0.0</v>
      </c>
      <c r="Y20" s="59">
        <v>0.0</v>
      </c>
      <c r="Z20" s="60">
        <f t="shared" si="11"/>
        <v>0</v>
      </c>
      <c r="AA20" s="61">
        <f t="shared" ref="AA20:AD20" si="12">K20+O20+S20+W20</f>
        <v>10</v>
      </c>
      <c r="AB20" s="62">
        <f t="shared" si="12"/>
        <v>82</v>
      </c>
      <c r="AC20" s="62">
        <f t="shared" si="12"/>
        <v>0</v>
      </c>
      <c r="AD20" s="62">
        <f t="shared" si="12"/>
        <v>92</v>
      </c>
      <c r="AJ20" s="63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</row>
    <row r="21" ht="15.75" customHeight="1">
      <c r="A21" s="55"/>
      <c r="B21" s="24"/>
      <c r="C21" s="24"/>
      <c r="D21" s="15" t="s">
        <v>27</v>
      </c>
      <c r="E21" s="30" t="s">
        <v>28</v>
      </c>
      <c r="F21" s="25">
        <v>90.0</v>
      </c>
      <c r="G21" s="24"/>
      <c r="H21" s="24"/>
      <c r="I21" s="24"/>
      <c r="J21" s="65">
        <v>0.0</v>
      </c>
      <c r="K21" s="58">
        <v>11.0</v>
      </c>
      <c r="L21" s="59">
        <v>11.0</v>
      </c>
      <c r="M21" s="59">
        <v>8.0</v>
      </c>
      <c r="N21" s="60">
        <f t="shared" si="8"/>
        <v>30</v>
      </c>
      <c r="O21" s="58">
        <v>10.0</v>
      </c>
      <c r="P21" s="59">
        <v>7.0</v>
      </c>
      <c r="Q21" s="59">
        <v>8.0</v>
      </c>
      <c r="R21" s="60">
        <f t="shared" si="9"/>
        <v>25</v>
      </c>
      <c r="S21" s="58">
        <v>1.0</v>
      </c>
      <c r="T21" s="59">
        <v>4.0</v>
      </c>
      <c r="U21" s="59">
        <v>0.0</v>
      </c>
      <c r="V21" s="60">
        <f t="shared" si="10"/>
        <v>5</v>
      </c>
      <c r="W21" s="58">
        <v>1.0</v>
      </c>
      <c r="X21" s="59">
        <v>4.0</v>
      </c>
      <c r="Y21" s="59">
        <v>0.0</v>
      </c>
      <c r="Z21" s="60">
        <f t="shared" si="11"/>
        <v>5</v>
      </c>
      <c r="AA21" s="61">
        <f t="shared" ref="AA21:AD21" si="13">K21+O21+S21+W21</f>
        <v>23</v>
      </c>
      <c r="AB21" s="62">
        <f t="shared" si="13"/>
        <v>26</v>
      </c>
      <c r="AC21" s="62">
        <f t="shared" si="13"/>
        <v>16</v>
      </c>
      <c r="AD21" s="62">
        <f t="shared" si="13"/>
        <v>65</v>
      </c>
      <c r="AJ21" s="63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</row>
    <row r="22" ht="15.75" customHeight="1">
      <c r="A22" s="55"/>
      <c r="B22" s="24"/>
      <c r="C22" s="24"/>
      <c r="D22" s="24"/>
      <c r="E22" s="30" t="s">
        <v>29</v>
      </c>
      <c r="F22" s="25">
        <v>90.0</v>
      </c>
      <c r="G22" s="24"/>
      <c r="H22" s="24"/>
      <c r="I22" s="24"/>
      <c r="J22" s="65">
        <v>10.0</v>
      </c>
      <c r="K22" s="58">
        <v>3.0</v>
      </c>
      <c r="L22" s="59">
        <v>7.0</v>
      </c>
      <c r="M22" s="59">
        <v>0.0</v>
      </c>
      <c r="N22" s="60">
        <f t="shared" si="8"/>
        <v>10</v>
      </c>
      <c r="O22" s="58">
        <v>0.0</v>
      </c>
      <c r="P22" s="59">
        <v>0.0</v>
      </c>
      <c r="Q22" s="59">
        <v>0.0</v>
      </c>
      <c r="R22" s="60">
        <f t="shared" si="9"/>
        <v>0</v>
      </c>
      <c r="S22" s="58">
        <v>3.0</v>
      </c>
      <c r="T22" s="59">
        <v>7.0</v>
      </c>
      <c r="U22" s="59">
        <v>0.0</v>
      </c>
      <c r="V22" s="60">
        <f t="shared" si="10"/>
        <v>10</v>
      </c>
      <c r="W22" s="58">
        <v>0.0</v>
      </c>
      <c r="X22" s="59">
        <v>0.0</v>
      </c>
      <c r="Y22" s="59">
        <v>0.0</v>
      </c>
      <c r="Z22" s="60">
        <f t="shared" si="11"/>
        <v>0</v>
      </c>
      <c r="AA22" s="61">
        <f t="shared" ref="AA22:AD22" si="14">K22+O22+S22+W22</f>
        <v>6</v>
      </c>
      <c r="AB22" s="62">
        <f t="shared" si="14"/>
        <v>14</v>
      </c>
      <c r="AC22" s="62">
        <f t="shared" si="14"/>
        <v>0</v>
      </c>
      <c r="AD22" s="62">
        <f t="shared" si="14"/>
        <v>20</v>
      </c>
      <c r="AJ22" s="63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</row>
    <row r="23" ht="26.25" customHeight="1">
      <c r="A23" s="55"/>
      <c r="B23" s="24"/>
      <c r="C23" s="24"/>
      <c r="D23" s="24"/>
      <c r="E23" s="66" t="s">
        <v>30</v>
      </c>
      <c r="F23" s="32">
        <v>360.0</v>
      </c>
      <c r="G23" s="24"/>
      <c r="H23" s="24"/>
      <c r="I23" s="24"/>
      <c r="J23" s="65">
        <v>350.0</v>
      </c>
      <c r="K23" s="58">
        <v>194.0</v>
      </c>
      <c r="L23" s="59">
        <v>391.0</v>
      </c>
      <c r="M23" s="59">
        <v>74.0</v>
      </c>
      <c r="N23" s="60">
        <f t="shared" si="8"/>
        <v>659</v>
      </c>
      <c r="O23" s="58">
        <v>79.0</v>
      </c>
      <c r="P23" s="59">
        <v>159.0</v>
      </c>
      <c r="Q23" s="59">
        <v>40.0</v>
      </c>
      <c r="R23" s="60">
        <f t="shared" si="9"/>
        <v>278</v>
      </c>
      <c r="S23" s="58">
        <v>115.0</v>
      </c>
      <c r="T23" s="59">
        <v>232.0</v>
      </c>
      <c r="U23" s="59">
        <v>34.0</v>
      </c>
      <c r="V23" s="60">
        <f t="shared" si="10"/>
        <v>381</v>
      </c>
      <c r="W23" s="58">
        <v>83.0</v>
      </c>
      <c r="X23" s="59">
        <v>148.0</v>
      </c>
      <c r="Y23" s="59">
        <v>0.0</v>
      </c>
      <c r="Z23" s="60">
        <f t="shared" si="11"/>
        <v>231</v>
      </c>
      <c r="AA23" s="61">
        <f t="shared" ref="AA23:AD23" si="15">K23+O23+S23+W23</f>
        <v>471</v>
      </c>
      <c r="AB23" s="62">
        <f t="shared" si="15"/>
        <v>930</v>
      </c>
      <c r="AC23" s="62">
        <f t="shared" si="15"/>
        <v>148</v>
      </c>
      <c r="AD23" s="62">
        <f t="shared" si="15"/>
        <v>1549</v>
      </c>
      <c r="AJ23" s="63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</row>
    <row r="24" ht="15.75" customHeight="1">
      <c r="A24" s="55"/>
      <c r="B24" s="24"/>
      <c r="C24" s="24"/>
      <c r="D24" s="24"/>
      <c r="E24" s="30" t="s">
        <v>31</v>
      </c>
      <c r="F24" s="25">
        <v>210.0</v>
      </c>
      <c r="G24" s="24"/>
      <c r="H24" s="24"/>
      <c r="I24" s="24"/>
      <c r="J24" s="65">
        <v>0.0</v>
      </c>
      <c r="K24" s="58">
        <v>0.0</v>
      </c>
      <c r="L24" s="59">
        <v>0.0</v>
      </c>
      <c r="M24" s="59">
        <v>0.0</v>
      </c>
      <c r="N24" s="60">
        <f t="shared" si="8"/>
        <v>0</v>
      </c>
      <c r="O24" s="58">
        <v>0.0</v>
      </c>
      <c r="P24" s="59">
        <v>0.0</v>
      </c>
      <c r="Q24" s="59">
        <v>0.0</v>
      </c>
      <c r="R24" s="60">
        <f t="shared" si="9"/>
        <v>0</v>
      </c>
      <c r="S24" s="58">
        <v>0.0</v>
      </c>
      <c r="T24" s="59">
        <v>0.0</v>
      </c>
      <c r="U24" s="59">
        <v>0.0</v>
      </c>
      <c r="V24" s="60">
        <f t="shared" si="10"/>
        <v>0</v>
      </c>
      <c r="W24" s="58">
        <v>0.0</v>
      </c>
      <c r="X24" s="59">
        <v>0.0</v>
      </c>
      <c r="Y24" s="59">
        <v>0.0</v>
      </c>
      <c r="Z24" s="60">
        <f t="shared" si="11"/>
        <v>0</v>
      </c>
      <c r="AA24" s="61">
        <f t="shared" ref="AA24:AD24" si="16">K24+O24+S24+W24</f>
        <v>0</v>
      </c>
      <c r="AB24" s="62">
        <f t="shared" si="16"/>
        <v>0</v>
      </c>
      <c r="AC24" s="62">
        <f t="shared" si="16"/>
        <v>0</v>
      </c>
      <c r="AD24" s="62">
        <f t="shared" si="16"/>
        <v>0</v>
      </c>
      <c r="AJ24" s="63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</row>
    <row r="25" ht="15.75" customHeight="1">
      <c r="A25" s="55"/>
      <c r="B25" s="24"/>
      <c r="C25" s="24"/>
      <c r="D25" s="24"/>
      <c r="E25" s="30" t="s">
        <v>32</v>
      </c>
      <c r="F25" s="25">
        <v>210.0</v>
      </c>
      <c r="G25" s="24"/>
      <c r="H25" s="24"/>
      <c r="I25" s="24"/>
      <c r="J25" s="65">
        <v>364.0</v>
      </c>
      <c r="K25" s="58">
        <v>308.0</v>
      </c>
      <c r="L25" s="59">
        <v>320.0</v>
      </c>
      <c r="M25" s="59">
        <v>82.0</v>
      </c>
      <c r="N25" s="60">
        <f t="shared" si="8"/>
        <v>710</v>
      </c>
      <c r="O25" s="58">
        <v>94.0</v>
      </c>
      <c r="P25" s="59">
        <v>69.0</v>
      </c>
      <c r="Q25" s="59">
        <v>46.0</v>
      </c>
      <c r="R25" s="60">
        <f t="shared" si="9"/>
        <v>209</v>
      </c>
      <c r="S25" s="58">
        <v>214.0</v>
      </c>
      <c r="T25" s="59">
        <v>251.0</v>
      </c>
      <c r="U25" s="59">
        <v>36.0</v>
      </c>
      <c r="V25" s="60">
        <f t="shared" si="10"/>
        <v>501</v>
      </c>
      <c r="W25" s="58">
        <v>120.0</v>
      </c>
      <c r="X25" s="59">
        <v>153.0</v>
      </c>
      <c r="Y25" s="59">
        <v>1.0</v>
      </c>
      <c r="Z25" s="60">
        <f t="shared" si="11"/>
        <v>274</v>
      </c>
      <c r="AA25" s="61">
        <f t="shared" ref="AA25:AD25" si="17">K25+O25+S25+W25</f>
        <v>736</v>
      </c>
      <c r="AB25" s="62">
        <f t="shared" si="17"/>
        <v>793</v>
      </c>
      <c r="AC25" s="62">
        <f t="shared" si="17"/>
        <v>165</v>
      </c>
      <c r="AD25" s="62">
        <f t="shared" si="17"/>
        <v>1694</v>
      </c>
      <c r="AJ25" s="63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</row>
    <row r="26" ht="15.75" customHeight="1">
      <c r="A26" s="55"/>
      <c r="B26" s="24"/>
      <c r="C26" s="24"/>
      <c r="D26" s="10"/>
      <c r="E26" s="30" t="s">
        <v>33</v>
      </c>
      <c r="F26" s="25">
        <v>90.0</v>
      </c>
      <c r="G26" s="24"/>
      <c r="H26" s="24"/>
      <c r="I26" s="24"/>
      <c r="J26" s="65">
        <v>0.0</v>
      </c>
      <c r="K26" s="58">
        <v>0.0</v>
      </c>
      <c r="L26" s="59">
        <v>0.0</v>
      </c>
      <c r="M26" s="59">
        <v>0.0</v>
      </c>
      <c r="N26" s="60">
        <f t="shared" si="8"/>
        <v>0</v>
      </c>
      <c r="O26" s="58">
        <v>0.0</v>
      </c>
      <c r="P26" s="59">
        <v>0.0</v>
      </c>
      <c r="Q26" s="59">
        <v>0.0</v>
      </c>
      <c r="R26" s="60">
        <f t="shared" si="9"/>
        <v>0</v>
      </c>
      <c r="S26" s="67">
        <v>0.0</v>
      </c>
      <c r="T26" s="60">
        <v>0.0</v>
      </c>
      <c r="U26" s="60">
        <v>0.0</v>
      </c>
      <c r="V26" s="60">
        <f t="shared" si="10"/>
        <v>0</v>
      </c>
      <c r="W26" s="58">
        <v>0.0</v>
      </c>
      <c r="X26" s="59">
        <v>0.0</v>
      </c>
      <c r="Y26" s="59">
        <v>0.0</v>
      </c>
      <c r="Z26" s="60">
        <f t="shared" si="11"/>
        <v>0</v>
      </c>
      <c r="AA26" s="61">
        <f t="shared" ref="AA26:AD26" si="18">K26+O26+S26+W26</f>
        <v>0</v>
      </c>
      <c r="AB26" s="62">
        <f t="shared" si="18"/>
        <v>0</v>
      </c>
      <c r="AC26" s="62">
        <f t="shared" si="18"/>
        <v>0</v>
      </c>
      <c r="AD26" s="62">
        <f t="shared" si="18"/>
        <v>0</v>
      </c>
      <c r="AJ26" s="63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</row>
    <row r="27" ht="15.75" customHeight="1">
      <c r="A27" s="55"/>
      <c r="B27" s="24"/>
      <c r="C27" s="24"/>
      <c r="D27" s="33" t="s">
        <v>34</v>
      </c>
      <c r="E27" s="34" t="s">
        <v>35</v>
      </c>
      <c r="F27" s="25">
        <v>90.0</v>
      </c>
      <c r="G27" s="24"/>
      <c r="H27" s="24"/>
      <c r="I27" s="24"/>
      <c r="J27" s="65">
        <v>13.0</v>
      </c>
      <c r="K27" s="58">
        <v>18.0</v>
      </c>
      <c r="L27" s="59">
        <v>26.0</v>
      </c>
      <c r="M27" s="59">
        <v>0.0</v>
      </c>
      <c r="N27" s="60">
        <f t="shared" si="8"/>
        <v>44</v>
      </c>
      <c r="O27" s="58">
        <v>18.0</v>
      </c>
      <c r="P27" s="59">
        <v>26.0</v>
      </c>
      <c r="Q27" s="59">
        <v>0.0</v>
      </c>
      <c r="R27" s="60">
        <f t="shared" si="9"/>
        <v>44</v>
      </c>
      <c r="S27" s="67">
        <v>0.0</v>
      </c>
      <c r="T27" s="60">
        <v>0.0</v>
      </c>
      <c r="U27" s="60">
        <v>0.0</v>
      </c>
      <c r="V27" s="60">
        <f t="shared" si="10"/>
        <v>0</v>
      </c>
      <c r="W27" s="67">
        <v>0.0</v>
      </c>
      <c r="X27" s="60">
        <v>0.0</v>
      </c>
      <c r="Y27" s="60">
        <v>0.0</v>
      </c>
      <c r="Z27" s="60">
        <f t="shared" si="11"/>
        <v>0</v>
      </c>
      <c r="AA27" s="61">
        <f t="shared" ref="AA27:AD27" si="19">K27+O27+S27+W27</f>
        <v>36</v>
      </c>
      <c r="AB27" s="62">
        <f t="shared" si="19"/>
        <v>52</v>
      </c>
      <c r="AC27" s="62">
        <f t="shared" si="19"/>
        <v>0</v>
      </c>
      <c r="AD27" s="62">
        <f t="shared" si="19"/>
        <v>88</v>
      </c>
      <c r="AJ27" s="63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</row>
    <row r="28" ht="15.75" customHeight="1">
      <c r="A28" s="55"/>
      <c r="B28" s="24"/>
      <c r="C28" s="24"/>
      <c r="D28" s="24"/>
      <c r="E28" s="34" t="s">
        <v>36</v>
      </c>
      <c r="F28" s="25">
        <v>90.0</v>
      </c>
      <c r="G28" s="24"/>
      <c r="H28" s="24"/>
      <c r="I28" s="24"/>
      <c r="J28" s="65">
        <v>0.0</v>
      </c>
      <c r="K28" s="67">
        <v>0.0</v>
      </c>
      <c r="L28" s="60">
        <v>0.0</v>
      </c>
      <c r="M28" s="60">
        <v>0.0</v>
      </c>
      <c r="N28" s="60">
        <f t="shared" si="8"/>
        <v>0</v>
      </c>
      <c r="O28" s="67">
        <v>0.0</v>
      </c>
      <c r="P28" s="60">
        <v>0.0</v>
      </c>
      <c r="Q28" s="60">
        <v>0.0</v>
      </c>
      <c r="R28" s="60">
        <f t="shared" si="9"/>
        <v>0</v>
      </c>
      <c r="S28" s="67">
        <v>0.0</v>
      </c>
      <c r="T28" s="60">
        <v>0.0</v>
      </c>
      <c r="U28" s="60">
        <v>0.0</v>
      </c>
      <c r="V28" s="60">
        <f t="shared" si="10"/>
        <v>0</v>
      </c>
      <c r="W28" s="67">
        <v>0.0</v>
      </c>
      <c r="X28" s="60">
        <v>0.0</v>
      </c>
      <c r="Y28" s="60">
        <v>0.0</v>
      </c>
      <c r="Z28" s="60">
        <f t="shared" si="11"/>
        <v>0</v>
      </c>
      <c r="AA28" s="61">
        <f t="shared" ref="AA28:AD28" si="20">K28+O28+S28+W28</f>
        <v>0</v>
      </c>
      <c r="AB28" s="62">
        <f t="shared" si="20"/>
        <v>0</v>
      </c>
      <c r="AC28" s="62">
        <f t="shared" si="20"/>
        <v>0</v>
      </c>
      <c r="AD28" s="62">
        <f t="shared" si="20"/>
        <v>0</v>
      </c>
      <c r="AJ28" s="63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</row>
    <row r="29" ht="15.75" customHeight="1">
      <c r="A29" s="55"/>
      <c r="B29" s="24"/>
      <c r="C29" s="24"/>
      <c r="D29" s="24"/>
      <c r="E29" s="39" t="s">
        <v>37</v>
      </c>
      <c r="F29" s="32">
        <v>360.0</v>
      </c>
      <c r="G29" s="24"/>
      <c r="H29" s="24"/>
      <c r="I29" s="24"/>
      <c r="J29" s="65">
        <v>0.0</v>
      </c>
      <c r="K29" s="67">
        <v>0.0</v>
      </c>
      <c r="L29" s="60">
        <v>0.0</v>
      </c>
      <c r="M29" s="60">
        <v>0.0</v>
      </c>
      <c r="N29" s="60">
        <f t="shared" si="8"/>
        <v>0</v>
      </c>
      <c r="O29" s="67">
        <v>0.0</v>
      </c>
      <c r="P29" s="60">
        <v>0.0</v>
      </c>
      <c r="Q29" s="60">
        <v>0.0</v>
      </c>
      <c r="R29" s="60">
        <f t="shared" si="9"/>
        <v>0</v>
      </c>
      <c r="S29" s="67">
        <v>0.0</v>
      </c>
      <c r="T29" s="60">
        <v>0.0</v>
      </c>
      <c r="U29" s="60">
        <v>0.0</v>
      </c>
      <c r="V29" s="60">
        <f t="shared" si="10"/>
        <v>0</v>
      </c>
      <c r="W29" s="67">
        <v>0.0</v>
      </c>
      <c r="X29" s="60">
        <v>0.0</v>
      </c>
      <c r="Y29" s="60">
        <v>0.0</v>
      </c>
      <c r="Z29" s="60">
        <f t="shared" si="11"/>
        <v>0</v>
      </c>
      <c r="AA29" s="61">
        <f t="shared" ref="AA29:AD29" si="21">K29+O29+S29+W29</f>
        <v>0</v>
      </c>
      <c r="AB29" s="62">
        <f t="shared" si="21"/>
        <v>0</v>
      </c>
      <c r="AC29" s="62">
        <f t="shared" si="21"/>
        <v>0</v>
      </c>
      <c r="AD29" s="62">
        <f t="shared" si="21"/>
        <v>0</v>
      </c>
      <c r="AJ29" s="63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</row>
    <row r="30" ht="15.75" customHeight="1">
      <c r="A30" s="55"/>
      <c r="B30" s="24"/>
      <c r="C30" s="24"/>
      <c r="D30" s="24"/>
      <c r="E30" s="34" t="s">
        <v>38</v>
      </c>
      <c r="F30" s="25">
        <v>390.0</v>
      </c>
      <c r="G30" s="24"/>
      <c r="H30" s="24"/>
      <c r="I30" s="24"/>
      <c r="J30" s="65">
        <v>0.0</v>
      </c>
      <c r="K30" s="67">
        <v>0.0</v>
      </c>
      <c r="L30" s="60">
        <v>0.0</v>
      </c>
      <c r="M30" s="60">
        <v>0.0</v>
      </c>
      <c r="N30" s="60">
        <f t="shared" si="8"/>
        <v>0</v>
      </c>
      <c r="O30" s="67">
        <v>0.0</v>
      </c>
      <c r="P30" s="60">
        <v>0.0</v>
      </c>
      <c r="Q30" s="60">
        <v>0.0</v>
      </c>
      <c r="R30" s="60">
        <f t="shared" si="9"/>
        <v>0</v>
      </c>
      <c r="S30" s="67">
        <v>0.0</v>
      </c>
      <c r="T30" s="60">
        <v>0.0</v>
      </c>
      <c r="U30" s="60">
        <v>0.0</v>
      </c>
      <c r="V30" s="60">
        <f t="shared" si="10"/>
        <v>0</v>
      </c>
      <c r="W30" s="67">
        <v>0.0</v>
      </c>
      <c r="X30" s="60">
        <v>0.0</v>
      </c>
      <c r="Y30" s="60">
        <v>0.0</v>
      </c>
      <c r="Z30" s="60">
        <f t="shared" si="11"/>
        <v>0</v>
      </c>
      <c r="AA30" s="61">
        <f t="shared" ref="AA30:AD30" si="22">K30+O30+S30+W30</f>
        <v>0</v>
      </c>
      <c r="AB30" s="62">
        <f t="shared" si="22"/>
        <v>0</v>
      </c>
      <c r="AC30" s="62">
        <f t="shared" si="22"/>
        <v>0</v>
      </c>
      <c r="AD30" s="62">
        <f t="shared" si="22"/>
        <v>0</v>
      </c>
      <c r="AJ30" s="63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</row>
    <row r="31" ht="15.75" customHeight="1">
      <c r="A31" s="55"/>
      <c r="B31" s="24"/>
      <c r="C31" s="24"/>
      <c r="D31" s="24"/>
      <c r="E31" s="34" t="s">
        <v>39</v>
      </c>
      <c r="F31" s="25">
        <v>150.0</v>
      </c>
      <c r="G31" s="24"/>
      <c r="H31" s="24"/>
      <c r="I31" s="24"/>
      <c r="J31" s="65">
        <v>0.0</v>
      </c>
      <c r="K31" s="68">
        <v>0.0</v>
      </c>
      <c r="L31" s="68">
        <v>0.0</v>
      </c>
      <c r="M31" s="68">
        <v>0.0</v>
      </c>
      <c r="N31" s="69">
        <f t="shared" si="8"/>
        <v>0</v>
      </c>
      <c r="O31" s="68">
        <v>0.0</v>
      </c>
      <c r="P31" s="68">
        <v>0.0</v>
      </c>
      <c r="Q31" s="68">
        <v>0.0</v>
      </c>
      <c r="R31" s="69">
        <f t="shared" si="9"/>
        <v>0</v>
      </c>
      <c r="S31" s="68">
        <v>0.0</v>
      </c>
      <c r="T31" s="68">
        <v>0.0</v>
      </c>
      <c r="U31" s="68">
        <v>0.0</v>
      </c>
      <c r="V31" s="69">
        <f t="shared" si="10"/>
        <v>0</v>
      </c>
      <c r="W31" s="68">
        <v>0.0</v>
      </c>
      <c r="X31" s="68">
        <v>0.0</v>
      </c>
      <c r="Y31" s="68">
        <v>0.0</v>
      </c>
      <c r="Z31" s="69">
        <f t="shared" si="11"/>
        <v>0</v>
      </c>
      <c r="AA31" s="23">
        <f t="shared" ref="AA31:AD31" si="23">K31+O31+S31+W31</f>
        <v>0</v>
      </c>
      <c r="AB31" s="23">
        <f t="shared" si="23"/>
        <v>0</v>
      </c>
      <c r="AC31" s="23">
        <f t="shared" si="23"/>
        <v>0</v>
      </c>
      <c r="AD31" s="23">
        <f t="shared" si="23"/>
        <v>0</v>
      </c>
      <c r="AJ31" s="63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</row>
    <row r="32" ht="15.75" customHeight="1">
      <c r="A32" s="55"/>
      <c r="B32" s="40"/>
      <c r="C32" s="24"/>
      <c r="D32" s="10"/>
      <c r="E32" s="34" t="s">
        <v>40</v>
      </c>
      <c r="F32" s="25">
        <v>90.0</v>
      </c>
      <c r="G32" s="10"/>
      <c r="H32" s="10"/>
      <c r="I32" s="10"/>
      <c r="J32" s="65">
        <v>0.0</v>
      </c>
      <c r="K32" s="68">
        <v>0.0</v>
      </c>
      <c r="L32" s="68">
        <v>0.0</v>
      </c>
      <c r="M32" s="68">
        <v>0.0</v>
      </c>
      <c r="N32" s="69">
        <f t="shared" si="8"/>
        <v>0</v>
      </c>
      <c r="O32" s="68">
        <v>0.0</v>
      </c>
      <c r="P32" s="68">
        <v>0.0</v>
      </c>
      <c r="Q32" s="68">
        <v>0.0</v>
      </c>
      <c r="R32" s="69">
        <f t="shared" si="9"/>
        <v>0</v>
      </c>
      <c r="S32" s="68">
        <v>0.0</v>
      </c>
      <c r="T32" s="68">
        <v>0.0</v>
      </c>
      <c r="U32" s="68">
        <v>0.0</v>
      </c>
      <c r="V32" s="69">
        <f t="shared" si="10"/>
        <v>0</v>
      </c>
      <c r="W32" s="68">
        <v>0.0</v>
      </c>
      <c r="X32" s="68">
        <v>0.0</v>
      </c>
      <c r="Y32" s="68">
        <v>0.0</v>
      </c>
      <c r="Z32" s="69">
        <f t="shared" si="11"/>
        <v>0</v>
      </c>
      <c r="AA32" s="23">
        <f t="shared" ref="AA32:AD32" si="24">K32+O32+S32+W32</f>
        <v>0</v>
      </c>
      <c r="AB32" s="23">
        <f t="shared" si="24"/>
        <v>0</v>
      </c>
      <c r="AC32" s="23">
        <f t="shared" si="24"/>
        <v>0</v>
      </c>
      <c r="AD32" s="23">
        <f t="shared" si="24"/>
        <v>0</v>
      </c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</row>
    <row r="33" ht="15.75" customHeight="1">
      <c r="A33" s="41"/>
      <c r="B33" s="42"/>
      <c r="C33" s="42"/>
      <c r="D33" s="42"/>
      <c r="E33" s="43" t="s">
        <v>21</v>
      </c>
      <c r="F33" s="44"/>
      <c r="G33" s="44">
        <f t="shared" ref="G33:I33" si="25">SUM(G19)</f>
        <v>5840</v>
      </c>
      <c r="H33" s="44">
        <f t="shared" si="25"/>
        <v>2500</v>
      </c>
      <c r="I33" s="44">
        <f t="shared" si="25"/>
        <v>8340</v>
      </c>
      <c r="J33" s="70">
        <f>sum(J19:J32)</f>
        <v>949</v>
      </c>
      <c r="K33" s="71">
        <f t="shared" ref="K33:AD33" si="26">SUM(K19:K32)</f>
        <v>691</v>
      </c>
      <c r="L33" s="71">
        <f t="shared" si="26"/>
        <v>915</v>
      </c>
      <c r="M33" s="71">
        <f t="shared" si="26"/>
        <v>203</v>
      </c>
      <c r="N33" s="71">
        <f t="shared" si="26"/>
        <v>1809</v>
      </c>
      <c r="O33" s="71">
        <f t="shared" si="26"/>
        <v>282</v>
      </c>
      <c r="P33" s="71">
        <f t="shared" si="26"/>
        <v>317</v>
      </c>
      <c r="Q33" s="71">
        <f t="shared" si="26"/>
        <v>133</v>
      </c>
      <c r="R33" s="71">
        <f t="shared" si="26"/>
        <v>732</v>
      </c>
      <c r="S33" s="71">
        <f t="shared" si="26"/>
        <v>409</v>
      </c>
      <c r="T33" s="71">
        <f t="shared" si="26"/>
        <v>598</v>
      </c>
      <c r="U33" s="71">
        <f t="shared" si="26"/>
        <v>70</v>
      </c>
      <c r="V33" s="71">
        <f t="shared" si="26"/>
        <v>1077</v>
      </c>
      <c r="W33" s="71">
        <f t="shared" si="26"/>
        <v>229</v>
      </c>
      <c r="X33" s="71">
        <f t="shared" si="26"/>
        <v>340</v>
      </c>
      <c r="Y33" s="71">
        <f t="shared" si="26"/>
        <v>1</v>
      </c>
      <c r="Z33" s="71">
        <f t="shared" si="26"/>
        <v>570</v>
      </c>
      <c r="AA33" s="44">
        <f t="shared" si="26"/>
        <v>1611</v>
      </c>
      <c r="AB33" s="44">
        <f t="shared" si="26"/>
        <v>2170</v>
      </c>
      <c r="AC33" s="44">
        <f t="shared" si="26"/>
        <v>407</v>
      </c>
      <c r="AD33" s="44">
        <f t="shared" si="26"/>
        <v>4188</v>
      </c>
    </row>
    <row r="34" ht="15.75" customHeight="1">
      <c r="A34" s="47"/>
      <c r="B34" s="48"/>
      <c r="C34" s="72"/>
      <c r="D34" s="72"/>
      <c r="E34" s="50"/>
      <c r="F34" s="50"/>
      <c r="G34" s="73"/>
      <c r="H34" s="73"/>
      <c r="I34" s="73"/>
      <c r="J34" s="74"/>
      <c r="K34" s="75"/>
      <c r="L34" s="75"/>
      <c r="M34" s="75"/>
      <c r="N34" s="73"/>
      <c r="O34" s="75"/>
      <c r="P34" s="75"/>
      <c r="Q34" s="75"/>
      <c r="R34" s="73"/>
      <c r="S34" s="75"/>
      <c r="T34" s="75"/>
      <c r="U34" s="75"/>
      <c r="V34" s="73"/>
      <c r="W34" s="75"/>
      <c r="X34" s="75"/>
      <c r="Y34" s="75"/>
      <c r="Z34" s="73"/>
      <c r="AA34" s="73"/>
      <c r="AB34" s="73"/>
      <c r="AC34" s="73"/>
      <c r="AD34" s="73"/>
    </row>
    <row r="35" ht="24.0" customHeight="1">
      <c r="A35" s="55">
        <v>3.0</v>
      </c>
      <c r="B35" s="13" t="s">
        <v>43</v>
      </c>
      <c r="C35" s="76" t="s">
        <v>44</v>
      </c>
      <c r="D35" s="15" t="s">
        <v>24</v>
      </c>
      <c r="E35" s="30" t="s">
        <v>25</v>
      </c>
      <c r="F35" s="17">
        <v>330.0</v>
      </c>
      <c r="G35" s="18">
        <v>5840.0</v>
      </c>
      <c r="H35" s="18">
        <v>2500.0</v>
      </c>
      <c r="I35" s="18">
        <f>SUM(G35:H35)</f>
        <v>8340</v>
      </c>
      <c r="J35" s="77">
        <v>0.0</v>
      </c>
      <c r="K35" s="78">
        <v>685.0</v>
      </c>
      <c r="L35" s="79">
        <v>74.0</v>
      </c>
      <c r="M35" s="79">
        <v>272.0</v>
      </c>
      <c r="N35" s="69">
        <f t="shared" ref="N35:N48" si="28">SUM(K35:M35)</f>
        <v>1031</v>
      </c>
      <c r="O35" s="80">
        <v>465.0</v>
      </c>
      <c r="P35" s="80">
        <v>66.0</v>
      </c>
      <c r="Q35" s="80">
        <v>271.0</v>
      </c>
      <c r="R35" s="69">
        <f t="shared" ref="R35:R48" si="29">SUM(O35:Q35)</f>
        <v>802</v>
      </c>
      <c r="S35" s="80">
        <v>220.0</v>
      </c>
      <c r="T35" s="81">
        <v>8.0</v>
      </c>
      <c r="U35" s="81">
        <v>1.0</v>
      </c>
      <c r="V35" s="69">
        <f t="shared" ref="V35:V48" si="30">SUM(S35:U35)</f>
        <v>229</v>
      </c>
      <c r="W35" s="80">
        <v>0.0</v>
      </c>
      <c r="X35" s="81">
        <v>0.0</v>
      </c>
      <c r="Y35" s="81">
        <v>0.0</v>
      </c>
      <c r="Z35" s="82">
        <f t="shared" ref="Z35:Z48" si="31">SUM(W35:Y35)</f>
        <v>0</v>
      </c>
      <c r="AA35" s="69">
        <f t="shared" ref="AA35:AD35" si="27">K35+O35+S35+W35</f>
        <v>1370</v>
      </c>
      <c r="AB35" s="69">
        <f t="shared" si="27"/>
        <v>148</v>
      </c>
      <c r="AC35" s="69">
        <f t="shared" si="27"/>
        <v>544</v>
      </c>
      <c r="AD35" s="69">
        <f t="shared" si="27"/>
        <v>2062</v>
      </c>
    </row>
    <row r="36" ht="19.5" customHeight="1">
      <c r="A36" s="55"/>
      <c r="B36" s="24"/>
      <c r="C36" s="24"/>
      <c r="D36" s="10"/>
      <c r="E36" s="30" t="s">
        <v>26</v>
      </c>
      <c r="F36" s="25">
        <v>540.0</v>
      </c>
      <c r="G36" s="24"/>
      <c r="H36" s="24"/>
      <c r="I36" s="24"/>
      <c r="J36" s="83"/>
      <c r="K36" s="84">
        <v>59.0</v>
      </c>
      <c r="L36" s="85">
        <v>6.0</v>
      </c>
      <c r="M36" s="85">
        <v>58.0</v>
      </c>
      <c r="N36" s="69">
        <f t="shared" si="28"/>
        <v>123</v>
      </c>
      <c r="O36" s="80">
        <v>59.0</v>
      </c>
      <c r="P36" s="80">
        <v>6.0</v>
      </c>
      <c r="Q36" s="80">
        <v>58.0</v>
      </c>
      <c r="R36" s="69">
        <f t="shared" si="29"/>
        <v>123</v>
      </c>
      <c r="S36" s="37">
        <v>0.0</v>
      </c>
      <c r="T36" s="68">
        <v>0.0</v>
      </c>
      <c r="U36" s="68">
        <v>0.0</v>
      </c>
      <c r="V36" s="69">
        <f t="shared" si="30"/>
        <v>0</v>
      </c>
      <c r="W36" s="37">
        <v>0.0</v>
      </c>
      <c r="X36" s="68">
        <v>0.0</v>
      </c>
      <c r="Y36" s="68">
        <v>0.0</v>
      </c>
      <c r="Z36" s="69">
        <f t="shared" si="31"/>
        <v>0</v>
      </c>
      <c r="AA36" s="23">
        <f t="shared" ref="AA36:AD36" si="32">K36+O36+S36+W36</f>
        <v>118</v>
      </c>
      <c r="AB36" s="23">
        <f t="shared" si="32"/>
        <v>12</v>
      </c>
      <c r="AC36" s="23">
        <f t="shared" si="32"/>
        <v>116</v>
      </c>
      <c r="AD36" s="23">
        <f t="shared" si="32"/>
        <v>246</v>
      </c>
    </row>
    <row r="37" ht="15.75" customHeight="1">
      <c r="A37" s="55"/>
      <c r="B37" s="24"/>
      <c r="C37" s="24"/>
      <c r="D37" s="15" t="s">
        <v>27</v>
      </c>
      <c r="E37" s="30" t="s">
        <v>28</v>
      </c>
      <c r="F37" s="25">
        <v>90.0</v>
      </c>
      <c r="G37" s="24"/>
      <c r="H37" s="24"/>
      <c r="I37" s="24"/>
      <c r="J37" s="83"/>
      <c r="K37" s="84">
        <v>255.0</v>
      </c>
      <c r="L37" s="85">
        <v>30.0</v>
      </c>
      <c r="M37" s="85">
        <v>46.0</v>
      </c>
      <c r="N37" s="69">
        <f t="shared" si="28"/>
        <v>331</v>
      </c>
      <c r="O37" s="80">
        <v>255.0</v>
      </c>
      <c r="P37" s="80">
        <v>30.0</v>
      </c>
      <c r="Q37" s="80">
        <v>46.0</v>
      </c>
      <c r="R37" s="69">
        <f t="shared" si="29"/>
        <v>331</v>
      </c>
      <c r="S37" s="37">
        <v>0.0</v>
      </c>
      <c r="T37" s="68">
        <v>0.0</v>
      </c>
      <c r="U37" s="68">
        <v>0.0</v>
      </c>
      <c r="V37" s="69">
        <f t="shared" si="30"/>
        <v>0</v>
      </c>
      <c r="W37" s="37">
        <v>0.0</v>
      </c>
      <c r="X37" s="68">
        <v>0.0</v>
      </c>
      <c r="Y37" s="68">
        <v>0.0</v>
      </c>
      <c r="Z37" s="69">
        <f t="shared" si="31"/>
        <v>0</v>
      </c>
      <c r="AA37" s="23">
        <f t="shared" ref="AA37:AD37" si="33">K37+O37+S37+W37</f>
        <v>510</v>
      </c>
      <c r="AB37" s="23">
        <f t="shared" si="33"/>
        <v>60</v>
      </c>
      <c r="AC37" s="23">
        <f t="shared" si="33"/>
        <v>92</v>
      </c>
      <c r="AD37" s="23">
        <f t="shared" si="33"/>
        <v>662</v>
      </c>
    </row>
    <row r="38" ht="15.75" customHeight="1">
      <c r="A38" s="55"/>
      <c r="B38" s="24"/>
      <c r="C38" s="24"/>
      <c r="D38" s="24"/>
      <c r="E38" s="30" t="s">
        <v>29</v>
      </c>
      <c r="F38" s="25">
        <v>90.0</v>
      </c>
      <c r="G38" s="24"/>
      <c r="H38" s="24"/>
      <c r="I38" s="24"/>
      <c r="J38" s="83"/>
      <c r="K38" s="84">
        <v>31.0</v>
      </c>
      <c r="L38" s="85">
        <v>1.0</v>
      </c>
      <c r="M38" s="85">
        <v>9.0</v>
      </c>
      <c r="N38" s="69">
        <f t="shared" si="28"/>
        <v>41</v>
      </c>
      <c r="O38" s="80">
        <v>31.0</v>
      </c>
      <c r="P38" s="80">
        <v>1.0</v>
      </c>
      <c r="Q38" s="80">
        <v>9.0</v>
      </c>
      <c r="R38" s="69">
        <f t="shared" si="29"/>
        <v>41</v>
      </c>
      <c r="S38" s="37">
        <v>0.0</v>
      </c>
      <c r="T38" s="68">
        <v>0.0</v>
      </c>
      <c r="U38" s="68">
        <v>0.0</v>
      </c>
      <c r="V38" s="69">
        <f t="shared" si="30"/>
        <v>0</v>
      </c>
      <c r="W38" s="37">
        <v>0.0</v>
      </c>
      <c r="X38" s="68">
        <v>0.0</v>
      </c>
      <c r="Y38" s="68">
        <v>0.0</v>
      </c>
      <c r="Z38" s="69">
        <f t="shared" si="31"/>
        <v>0</v>
      </c>
      <c r="AA38" s="23">
        <f t="shared" ref="AA38:AD38" si="34">K38+O38+S38+W38</f>
        <v>62</v>
      </c>
      <c r="AB38" s="23">
        <f t="shared" si="34"/>
        <v>2</v>
      </c>
      <c r="AC38" s="23">
        <f t="shared" si="34"/>
        <v>18</v>
      </c>
      <c r="AD38" s="23">
        <f t="shared" si="34"/>
        <v>82</v>
      </c>
    </row>
    <row r="39" ht="24.0" customHeight="1">
      <c r="A39" s="55"/>
      <c r="B39" s="24"/>
      <c r="C39" s="24"/>
      <c r="D39" s="24"/>
      <c r="E39" s="66" t="s">
        <v>30</v>
      </c>
      <c r="F39" s="32">
        <v>360.0</v>
      </c>
      <c r="G39" s="24"/>
      <c r="H39" s="24"/>
      <c r="I39" s="24"/>
      <c r="J39" s="83"/>
      <c r="K39" s="84">
        <v>611.0</v>
      </c>
      <c r="L39" s="85">
        <v>107.0</v>
      </c>
      <c r="M39" s="85">
        <v>147.0</v>
      </c>
      <c r="N39" s="69">
        <f t="shared" si="28"/>
        <v>865</v>
      </c>
      <c r="O39" s="80">
        <v>120.0</v>
      </c>
      <c r="P39" s="80">
        <v>89.0</v>
      </c>
      <c r="Q39" s="80">
        <v>27.0</v>
      </c>
      <c r="R39" s="69">
        <f t="shared" si="29"/>
        <v>236</v>
      </c>
      <c r="S39" s="37">
        <v>491.0</v>
      </c>
      <c r="T39" s="68">
        <v>18.0</v>
      </c>
      <c r="U39" s="68">
        <v>120.0</v>
      </c>
      <c r="V39" s="69">
        <f t="shared" si="30"/>
        <v>629</v>
      </c>
      <c r="W39" s="37">
        <v>130.0</v>
      </c>
      <c r="X39" s="68">
        <v>1.0</v>
      </c>
      <c r="Y39" s="68">
        <v>83.0</v>
      </c>
      <c r="Z39" s="69">
        <f t="shared" si="31"/>
        <v>214</v>
      </c>
      <c r="AA39" s="23">
        <f t="shared" ref="AA39:AD39" si="35">K39+O39+S39+W39</f>
        <v>1352</v>
      </c>
      <c r="AB39" s="23">
        <f t="shared" si="35"/>
        <v>215</v>
      </c>
      <c r="AC39" s="23">
        <f t="shared" si="35"/>
        <v>377</v>
      </c>
      <c r="AD39" s="23">
        <f t="shared" si="35"/>
        <v>1944</v>
      </c>
    </row>
    <row r="40" ht="15.75" customHeight="1">
      <c r="A40" s="55"/>
      <c r="B40" s="24"/>
      <c r="C40" s="24"/>
      <c r="D40" s="24"/>
      <c r="E40" s="30" t="s">
        <v>31</v>
      </c>
      <c r="F40" s="25">
        <v>210.0</v>
      </c>
      <c r="G40" s="24"/>
      <c r="H40" s="24"/>
      <c r="I40" s="24"/>
      <c r="J40" s="83"/>
      <c r="K40" s="84">
        <v>307.0</v>
      </c>
      <c r="L40" s="85">
        <v>38.0</v>
      </c>
      <c r="M40" s="85">
        <v>75.0</v>
      </c>
      <c r="N40" s="69">
        <f t="shared" si="28"/>
        <v>420</v>
      </c>
      <c r="O40" s="80">
        <v>220.0</v>
      </c>
      <c r="P40" s="80">
        <v>38.0</v>
      </c>
      <c r="Q40" s="80">
        <v>75.0</v>
      </c>
      <c r="R40" s="69">
        <f t="shared" si="29"/>
        <v>333</v>
      </c>
      <c r="S40" s="37">
        <v>87.0</v>
      </c>
      <c r="T40" s="68">
        <v>0.0</v>
      </c>
      <c r="U40" s="68">
        <v>0.0</v>
      </c>
      <c r="V40" s="69">
        <f t="shared" si="30"/>
        <v>87</v>
      </c>
      <c r="W40" s="37">
        <v>13.0</v>
      </c>
      <c r="X40" s="68">
        <v>0.0</v>
      </c>
      <c r="Y40" s="68">
        <v>0.0</v>
      </c>
      <c r="Z40" s="69">
        <f t="shared" si="31"/>
        <v>13</v>
      </c>
      <c r="AA40" s="23">
        <f t="shared" ref="AA40:AD40" si="36">K40+O40+S40+W40</f>
        <v>627</v>
      </c>
      <c r="AB40" s="23">
        <f t="shared" si="36"/>
        <v>76</v>
      </c>
      <c r="AC40" s="23">
        <f t="shared" si="36"/>
        <v>150</v>
      </c>
      <c r="AD40" s="23">
        <f t="shared" si="36"/>
        <v>853</v>
      </c>
    </row>
    <row r="41" ht="15.75" customHeight="1">
      <c r="A41" s="55"/>
      <c r="B41" s="24"/>
      <c r="C41" s="24"/>
      <c r="D41" s="24"/>
      <c r="E41" s="30" t="s">
        <v>32</v>
      </c>
      <c r="F41" s="25">
        <v>210.0</v>
      </c>
      <c r="G41" s="24"/>
      <c r="H41" s="24"/>
      <c r="I41" s="24"/>
      <c r="J41" s="83"/>
      <c r="K41" s="84">
        <v>964.0</v>
      </c>
      <c r="L41" s="85">
        <v>189.0</v>
      </c>
      <c r="M41" s="85">
        <v>244.0</v>
      </c>
      <c r="N41" s="69">
        <f t="shared" si="28"/>
        <v>1397</v>
      </c>
      <c r="O41" s="80">
        <v>324.0</v>
      </c>
      <c r="P41" s="80">
        <v>151.0</v>
      </c>
      <c r="Q41" s="80">
        <v>5.0</v>
      </c>
      <c r="R41" s="69">
        <f t="shared" si="29"/>
        <v>480</v>
      </c>
      <c r="S41" s="37">
        <v>640.0</v>
      </c>
      <c r="T41" s="68">
        <v>38.0</v>
      </c>
      <c r="U41" s="68">
        <v>239.0</v>
      </c>
      <c r="V41" s="69">
        <f t="shared" si="30"/>
        <v>917</v>
      </c>
      <c r="W41" s="37">
        <v>202.0</v>
      </c>
      <c r="X41" s="68">
        <v>5.0</v>
      </c>
      <c r="Y41" s="68">
        <v>124.0</v>
      </c>
      <c r="Z41" s="69">
        <f t="shared" si="31"/>
        <v>331</v>
      </c>
      <c r="AA41" s="23">
        <f t="shared" ref="AA41:AD41" si="37">K41+O41+S41+W41</f>
        <v>2130</v>
      </c>
      <c r="AB41" s="23">
        <f t="shared" si="37"/>
        <v>383</v>
      </c>
      <c r="AC41" s="23">
        <f t="shared" si="37"/>
        <v>612</v>
      </c>
      <c r="AD41" s="23">
        <f t="shared" si="37"/>
        <v>3125</v>
      </c>
    </row>
    <row r="42" ht="15.75" customHeight="1">
      <c r="A42" s="55"/>
      <c r="B42" s="24"/>
      <c r="C42" s="24"/>
      <c r="D42" s="10"/>
      <c r="E42" s="30" t="s">
        <v>33</v>
      </c>
      <c r="F42" s="25">
        <v>90.0</v>
      </c>
      <c r="G42" s="24"/>
      <c r="H42" s="24"/>
      <c r="I42" s="24"/>
      <c r="J42" s="83"/>
      <c r="K42" s="84">
        <v>264.0</v>
      </c>
      <c r="L42" s="85">
        <v>73.0</v>
      </c>
      <c r="M42" s="85">
        <v>44.0</v>
      </c>
      <c r="N42" s="69">
        <f t="shared" si="28"/>
        <v>381</v>
      </c>
      <c r="O42" s="80">
        <v>208.0</v>
      </c>
      <c r="P42" s="80">
        <v>65.0</v>
      </c>
      <c r="Q42" s="80">
        <v>3.0</v>
      </c>
      <c r="R42" s="69">
        <f t="shared" si="29"/>
        <v>276</v>
      </c>
      <c r="S42" s="37">
        <v>56.0</v>
      </c>
      <c r="T42" s="68">
        <v>8.0</v>
      </c>
      <c r="U42" s="68">
        <v>41.0</v>
      </c>
      <c r="V42" s="69">
        <f t="shared" si="30"/>
        <v>105</v>
      </c>
      <c r="W42" s="37">
        <v>43.0</v>
      </c>
      <c r="X42" s="68">
        <v>7.0</v>
      </c>
      <c r="Y42" s="68">
        <v>38.0</v>
      </c>
      <c r="Z42" s="69">
        <f t="shared" si="31"/>
        <v>88</v>
      </c>
      <c r="AA42" s="23">
        <f t="shared" ref="AA42:AD42" si="38">K42+O42+S42+W42</f>
        <v>571</v>
      </c>
      <c r="AB42" s="23">
        <f t="shared" si="38"/>
        <v>153</v>
      </c>
      <c r="AC42" s="23">
        <f t="shared" si="38"/>
        <v>126</v>
      </c>
      <c r="AD42" s="23">
        <f t="shared" si="38"/>
        <v>850</v>
      </c>
    </row>
    <row r="43" ht="15.75" customHeight="1">
      <c r="A43" s="55"/>
      <c r="B43" s="24"/>
      <c r="C43" s="24"/>
      <c r="D43" s="33" t="s">
        <v>34</v>
      </c>
      <c r="E43" s="34" t="s">
        <v>35</v>
      </c>
      <c r="F43" s="25">
        <v>90.0</v>
      </c>
      <c r="G43" s="24"/>
      <c r="H43" s="24"/>
      <c r="I43" s="24"/>
      <c r="J43" s="83"/>
      <c r="K43" s="84">
        <v>47.0</v>
      </c>
      <c r="L43" s="85">
        <v>2.0</v>
      </c>
      <c r="M43" s="85">
        <v>11.0</v>
      </c>
      <c r="N43" s="69">
        <f t="shared" si="28"/>
        <v>60</v>
      </c>
      <c r="O43" s="80">
        <v>47.0</v>
      </c>
      <c r="P43" s="80">
        <v>2.0</v>
      </c>
      <c r="Q43" s="80">
        <v>11.0</v>
      </c>
      <c r="R43" s="69">
        <f t="shared" si="29"/>
        <v>60</v>
      </c>
      <c r="S43" s="37">
        <v>0.0</v>
      </c>
      <c r="T43" s="68">
        <v>0.0</v>
      </c>
      <c r="U43" s="68">
        <v>0.0</v>
      </c>
      <c r="V43" s="69">
        <f t="shared" si="30"/>
        <v>0</v>
      </c>
      <c r="W43" s="37">
        <v>0.0</v>
      </c>
      <c r="X43" s="68">
        <v>0.0</v>
      </c>
      <c r="Y43" s="68">
        <v>0.0</v>
      </c>
      <c r="Z43" s="69">
        <f t="shared" si="31"/>
        <v>0</v>
      </c>
      <c r="AA43" s="23">
        <f t="shared" ref="AA43:AD43" si="39">K43+O43+S43+W43</f>
        <v>94</v>
      </c>
      <c r="AB43" s="23">
        <f t="shared" si="39"/>
        <v>4</v>
      </c>
      <c r="AC43" s="23">
        <f t="shared" si="39"/>
        <v>22</v>
      </c>
      <c r="AD43" s="23">
        <f t="shared" si="39"/>
        <v>120</v>
      </c>
    </row>
    <row r="44" ht="15.75" customHeight="1">
      <c r="A44" s="55"/>
      <c r="B44" s="24"/>
      <c r="C44" s="24"/>
      <c r="D44" s="24"/>
      <c r="E44" s="34" t="s">
        <v>36</v>
      </c>
      <c r="F44" s="25">
        <v>90.0</v>
      </c>
      <c r="G44" s="24"/>
      <c r="H44" s="24"/>
      <c r="I44" s="24"/>
      <c r="J44" s="83"/>
      <c r="K44" s="84">
        <v>0.0</v>
      </c>
      <c r="L44" s="85">
        <v>0.0</v>
      </c>
      <c r="M44" s="85">
        <v>0.0</v>
      </c>
      <c r="N44" s="69">
        <f t="shared" si="28"/>
        <v>0</v>
      </c>
      <c r="O44" s="80">
        <v>0.0</v>
      </c>
      <c r="P44" s="80">
        <v>0.0</v>
      </c>
      <c r="Q44" s="80">
        <v>0.0</v>
      </c>
      <c r="R44" s="69">
        <f t="shared" si="29"/>
        <v>0</v>
      </c>
      <c r="S44" s="37">
        <v>0.0</v>
      </c>
      <c r="T44" s="68">
        <v>0.0</v>
      </c>
      <c r="U44" s="68">
        <v>0.0</v>
      </c>
      <c r="V44" s="69">
        <f t="shared" si="30"/>
        <v>0</v>
      </c>
      <c r="W44" s="37">
        <v>0.0</v>
      </c>
      <c r="X44" s="68">
        <v>0.0</v>
      </c>
      <c r="Y44" s="68">
        <v>0.0</v>
      </c>
      <c r="Z44" s="69">
        <f t="shared" si="31"/>
        <v>0</v>
      </c>
      <c r="AA44" s="23">
        <f t="shared" ref="AA44:AD44" si="40">K44+O44+S44+W44</f>
        <v>0</v>
      </c>
      <c r="AB44" s="23">
        <f t="shared" si="40"/>
        <v>0</v>
      </c>
      <c r="AC44" s="23">
        <f t="shared" si="40"/>
        <v>0</v>
      </c>
      <c r="AD44" s="23">
        <f t="shared" si="40"/>
        <v>0</v>
      </c>
    </row>
    <row r="45" ht="15.75" customHeight="1">
      <c r="A45" s="55"/>
      <c r="B45" s="24"/>
      <c r="C45" s="24"/>
      <c r="D45" s="24"/>
      <c r="E45" s="39" t="s">
        <v>37</v>
      </c>
      <c r="F45" s="32">
        <v>360.0</v>
      </c>
      <c r="G45" s="24"/>
      <c r="H45" s="24"/>
      <c r="I45" s="24"/>
      <c r="J45" s="83"/>
      <c r="K45" s="84">
        <v>14.0</v>
      </c>
      <c r="L45" s="85">
        <v>1.0</v>
      </c>
      <c r="M45" s="85">
        <v>5.0</v>
      </c>
      <c r="N45" s="69">
        <f t="shared" si="28"/>
        <v>20</v>
      </c>
      <c r="O45" s="80">
        <v>14.0</v>
      </c>
      <c r="P45" s="80">
        <v>1.0</v>
      </c>
      <c r="Q45" s="80">
        <v>5.0</v>
      </c>
      <c r="R45" s="69">
        <f t="shared" si="29"/>
        <v>20</v>
      </c>
      <c r="S45" s="37">
        <v>0.0</v>
      </c>
      <c r="T45" s="68">
        <v>0.0</v>
      </c>
      <c r="U45" s="68">
        <v>0.0</v>
      </c>
      <c r="V45" s="69">
        <f t="shared" si="30"/>
        <v>0</v>
      </c>
      <c r="W45" s="37">
        <v>0.0</v>
      </c>
      <c r="X45" s="68">
        <v>0.0</v>
      </c>
      <c r="Y45" s="68">
        <v>0.0</v>
      </c>
      <c r="Z45" s="69">
        <f t="shared" si="31"/>
        <v>0</v>
      </c>
      <c r="AA45" s="23">
        <f t="shared" ref="AA45:AD45" si="41">K45+O45+S45+W45</f>
        <v>28</v>
      </c>
      <c r="AB45" s="23">
        <f t="shared" si="41"/>
        <v>2</v>
      </c>
      <c r="AC45" s="23">
        <f t="shared" si="41"/>
        <v>10</v>
      </c>
      <c r="AD45" s="23">
        <f t="shared" si="41"/>
        <v>40</v>
      </c>
    </row>
    <row r="46" ht="15.75" customHeight="1">
      <c r="A46" s="55"/>
      <c r="B46" s="24"/>
      <c r="C46" s="24"/>
      <c r="D46" s="24"/>
      <c r="E46" s="34" t="s">
        <v>38</v>
      </c>
      <c r="F46" s="25">
        <v>390.0</v>
      </c>
      <c r="G46" s="24"/>
      <c r="H46" s="24"/>
      <c r="I46" s="24"/>
      <c r="J46" s="83"/>
      <c r="K46" s="84">
        <v>0.0</v>
      </c>
      <c r="L46" s="85">
        <v>0.0</v>
      </c>
      <c r="M46" s="85">
        <v>0.0</v>
      </c>
      <c r="N46" s="69">
        <f t="shared" si="28"/>
        <v>0</v>
      </c>
      <c r="O46" s="80">
        <v>0.0</v>
      </c>
      <c r="P46" s="80">
        <v>0.0</v>
      </c>
      <c r="Q46" s="80">
        <v>0.0</v>
      </c>
      <c r="R46" s="69">
        <f t="shared" si="29"/>
        <v>0</v>
      </c>
      <c r="S46" s="37">
        <v>0.0</v>
      </c>
      <c r="T46" s="68">
        <v>0.0</v>
      </c>
      <c r="U46" s="68">
        <v>0.0</v>
      </c>
      <c r="V46" s="69">
        <f t="shared" si="30"/>
        <v>0</v>
      </c>
      <c r="W46" s="37">
        <v>0.0</v>
      </c>
      <c r="X46" s="68">
        <v>0.0</v>
      </c>
      <c r="Y46" s="68">
        <v>0.0</v>
      </c>
      <c r="Z46" s="69">
        <f t="shared" si="31"/>
        <v>0</v>
      </c>
      <c r="AA46" s="23">
        <f t="shared" ref="AA46:AD46" si="42">K46+O46+S46+W46</f>
        <v>0</v>
      </c>
      <c r="AB46" s="23">
        <f t="shared" si="42"/>
        <v>0</v>
      </c>
      <c r="AC46" s="23">
        <f t="shared" si="42"/>
        <v>0</v>
      </c>
      <c r="AD46" s="23">
        <f t="shared" si="42"/>
        <v>0</v>
      </c>
    </row>
    <row r="47" ht="15.75" customHeight="1">
      <c r="A47" s="55"/>
      <c r="B47" s="24"/>
      <c r="C47" s="24"/>
      <c r="D47" s="24"/>
      <c r="E47" s="34" t="s">
        <v>39</v>
      </c>
      <c r="F47" s="25">
        <v>150.0</v>
      </c>
      <c r="G47" s="24"/>
      <c r="H47" s="24"/>
      <c r="I47" s="24"/>
      <c r="J47" s="83"/>
      <c r="K47" s="84">
        <v>0.0</v>
      </c>
      <c r="L47" s="85">
        <v>0.0</v>
      </c>
      <c r="M47" s="85">
        <v>0.0</v>
      </c>
      <c r="N47" s="69">
        <f t="shared" si="28"/>
        <v>0</v>
      </c>
      <c r="O47" s="80">
        <v>0.0</v>
      </c>
      <c r="P47" s="80">
        <v>0.0</v>
      </c>
      <c r="Q47" s="80">
        <v>0.0</v>
      </c>
      <c r="R47" s="69">
        <f t="shared" si="29"/>
        <v>0</v>
      </c>
      <c r="S47" s="37">
        <v>0.0</v>
      </c>
      <c r="T47" s="68">
        <v>0.0</v>
      </c>
      <c r="U47" s="68">
        <v>0.0</v>
      </c>
      <c r="V47" s="69">
        <f t="shared" si="30"/>
        <v>0</v>
      </c>
      <c r="W47" s="37">
        <v>0.0</v>
      </c>
      <c r="X47" s="68">
        <v>0.0</v>
      </c>
      <c r="Y47" s="68">
        <v>0.0</v>
      </c>
      <c r="Z47" s="69">
        <f t="shared" si="31"/>
        <v>0</v>
      </c>
      <c r="AA47" s="23">
        <f t="shared" ref="AA47:AD47" si="43">K47+O47+S47+W47</f>
        <v>0</v>
      </c>
      <c r="AB47" s="23">
        <f t="shared" si="43"/>
        <v>0</v>
      </c>
      <c r="AC47" s="23">
        <f t="shared" si="43"/>
        <v>0</v>
      </c>
      <c r="AD47" s="23">
        <f t="shared" si="43"/>
        <v>0</v>
      </c>
    </row>
    <row r="48" ht="15.75" customHeight="1">
      <c r="A48" s="55"/>
      <c r="B48" s="40"/>
      <c r="C48" s="24"/>
      <c r="D48" s="10"/>
      <c r="E48" s="34" t="s">
        <v>40</v>
      </c>
      <c r="F48" s="25">
        <v>90.0</v>
      </c>
      <c r="G48" s="10"/>
      <c r="H48" s="10"/>
      <c r="I48" s="10"/>
      <c r="J48" s="83"/>
      <c r="K48" s="84">
        <v>203.0</v>
      </c>
      <c r="L48" s="85">
        <v>1.0</v>
      </c>
      <c r="M48" s="85">
        <v>16.0</v>
      </c>
      <c r="N48" s="69">
        <f t="shared" si="28"/>
        <v>220</v>
      </c>
      <c r="O48" s="80">
        <v>203.0</v>
      </c>
      <c r="P48" s="80">
        <v>1.0</v>
      </c>
      <c r="Q48" s="80">
        <v>16.0</v>
      </c>
      <c r="R48" s="69">
        <f t="shared" si="29"/>
        <v>220</v>
      </c>
      <c r="S48" s="37">
        <v>0.0</v>
      </c>
      <c r="T48" s="68">
        <v>0.0</v>
      </c>
      <c r="U48" s="68">
        <v>0.0</v>
      </c>
      <c r="V48" s="69">
        <f t="shared" si="30"/>
        <v>0</v>
      </c>
      <c r="W48" s="37">
        <v>0.0</v>
      </c>
      <c r="X48" s="68">
        <v>0.0</v>
      </c>
      <c r="Y48" s="68">
        <v>0.0</v>
      </c>
      <c r="Z48" s="69">
        <f t="shared" si="31"/>
        <v>0</v>
      </c>
      <c r="AA48" s="23">
        <f t="shared" ref="AA48:AD48" si="44">K48+O48+S48+W48</f>
        <v>406</v>
      </c>
      <c r="AB48" s="23">
        <f t="shared" si="44"/>
        <v>2</v>
      </c>
      <c r="AC48" s="23">
        <f t="shared" si="44"/>
        <v>32</v>
      </c>
      <c r="AD48" s="23">
        <f t="shared" si="44"/>
        <v>440</v>
      </c>
    </row>
    <row r="49" ht="15.75" customHeight="1">
      <c r="A49" s="41"/>
      <c r="B49" s="42"/>
      <c r="C49" s="42"/>
      <c r="D49" s="42"/>
      <c r="E49" s="43" t="s">
        <v>21</v>
      </c>
      <c r="F49" s="44"/>
      <c r="G49" s="44">
        <f t="shared" ref="G49:J49" si="45">SUM(G35)</f>
        <v>5840</v>
      </c>
      <c r="H49" s="44">
        <f t="shared" si="45"/>
        <v>2500</v>
      </c>
      <c r="I49" s="44">
        <f t="shared" si="45"/>
        <v>8340</v>
      </c>
      <c r="J49" s="45">
        <f t="shared" si="45"/>
        <v>0</v>
      </c>
      <c r="K49" s="71">
        <f t="shared" ref="K49:AD49" si="46">SUM(K35:K48)</f>
        <v>3440</v>
      </c>
      <c r="L49" s="71">
        <f t="shared" si="46"/>
        <v>522</v>
      </c>
      <c r="M49" s="71">
        <f t="shared" si="46"/>
        <v>927</v>
      </c>
      <c r="N49" s="71">
        <f t="shared" si="46"/>
        <v>4889</v>
      </c>
      <c r="O49" s="71">
        <f t="shared" si="46"/>
        <v>1946</v>
      </c>
      <c r="P49" s="71">
        <f t="shared" si="46"/>
        <v>450</v>
      </c>
      <c r="Q49" s="71">
        <f t="shared" si="46"/>
        <v>526</v>
      </c>
      <c r="R49" s="71">
        <f t="shared" si="46"/>
        <v>2922</v>
      </c>
      <c r="S49" s="71">
        <f t="shared" si="46"/>
        <v>1494</v>
      </c>
      <c r="T49" s="71">
        <f t="shared" si="46"/>
        <v>72</v>
      </c>
      <c r="U49" s="71">
        <f t="shared" si="46"/>
        <v>401</v>
      </c>
      <c r="V49" s="71">
        <f t="shared" si="46"/>
        <v>1967</v>
      </c>
      <c r="W49" s="71">
        <f t="shared" si="46"/>
        <v>388</v>
      </c>
      <c r="X49" s="71">
        <f t="shared" si="46"/>
        <v>13</v>
      </c>
      <c r="Y49" s="71">
        <f t="shared" si="46"/>
        <v>245</v>
      </c>
      <c r="Z49" s="71">
        <f t="shared" si="46"/>
        <v>646</v>
      </c>
      <c r="AA49" s="44">
        <f t="shared" si="46"/>
        <v>7268</v>
      </c>
      <c r="AB49" s="44">
        <f t="shared" si="46"/>
        <v>1057</v>
      </c>
      <c r="AC49" s="44">
        <f t="shared" si="46"/>
        <v>2099</v>
      </c>
      <c r="AD49" s="44">
        <f t="shared" si="46"/>
        <v>10424</v>
      </c>
    </row>
    <row r="50" ht="15.75" customHeight="1">
      <c r="A50" s="47"/>
      <c r="B50" s="48"/>
      <c r="C50" s="86"/>
      <c r="D50" s="86"/>
      <c r="E50" s="50"/>
      <c r="F50" s="50"/>
      <c r="G50" s="73"/>
      <c r="H50" s="73"/>
      <c r="I50" s="73"/>
      <c r="J50" s="74"/>
      <c r="K50" s="75"/>
      <c r="L50" s="75"/>
      <c r="M50" s="75"/>
      <c r="N50" s="73"/>
      <c r="O50" s="75"/>
      <c r="P50" s="75"/>
      <c r="Q50" s="75"/>
      <c r="R50" s="73"/>
      <c r="S50" s="75"/>
      <c r="T50" s="75"/>
      <c r="U50" s="75"/>
      <c r="V50" s="73"/>
      <c r="W50" s="75"/>
      <c r="X50" s="75"/>
      <c r="Y50" s="75"/>
      <c r="Z50" s="73"/>
      <c r="AA50" s="73"/>
      <c r="AB50" s="73"/>
      <c r="AC50" s="73"/>
      <c r="AD50" s="73"/>
    </row>
    <row r="51" ht="22.5" customHeight="1">
      <c r="A51" s="55">
        <v>4.0</v>
      </c>
      <c r="B51" s="13" t="s">
        <v>45</v>
      </c>
      <c r="C51" s="55" t="s">
        <v>46</v>
      </c>
      <c r="D51" s="15" t="s">
        <v>24</v>
      </c>
      <c r="E51" s="30" t="s">
        <v>25</v>
      </c>
      <c r="F51" s="17">
        <v>330.0</v>
      </c>
      <c r="G51" s="18">
        <v>5840.0</v>
      </c>
      <c r="H51" s="18">
        <v>2500.0</v>
      </c>
      <c r="I51" s="18">
        <f>SUM(G51:H66)</f>
        <v>8340</v>
      </c>
      <c r="J51" s="87"/>
      <c r="K51" s="88">
        <v>419.0</v>
      </c>
      <c r="L51" s="88">
        <v>35.0</v>
      </c>
      <c r="M51" s="88">
        <v>61.0</v>
      </c>
      <c r="N51" s="69">
        <f t="shared" ref="N51:N66" si="48">SUM(K51:M51)</f>
        <v>515</v>
      </c>
      <c r="O51" s="89">
        <v>351.0</v>
      </c>
      <c r="P51" s="89">
        <v>23.0</v>
      </c>
      <c r="Q51" s="89">
        <v>51.0</v>
      </c>
      <c r="R51" s="69">
        <f t="shared" ref="R51:R66" si="49">SUM(O51:Q51)</f>
        <v>425</v>
      </c>
      <c r="S51" s="88">
        <v>68.0</v>
      </c>
      <c r="T51" s="88">
        <v>12.0</v>
      </c>
      <c r="U51" s="88">
        <v>10.0</v>
      </c>
      <c r="V51" s="69">
        <f t="shared" ref="V51:V66" si="50">SUM(S51:U51)</f>
        <v>90</v>
      </c>
      <c r="W51" s="88">
        <v>0.0</v>
      </c>
      <c r="X51" s="88">
        <v>0.0</v>
      </c>
      <c r="Y51" s="88">
        <v>0.0</v>
      </c>
      <c r="Z51" s="82">
        <f t="shared" ref="Z51:Z66" si="51">SUM(W51:Y51)</f>
        <v>0</v>
      </c>
      <c r="AA51" s="69">
        <f t="shared" ref="AA51:AD51" si="47">K51+O51+S51+W51</f>
        <v>838</v>
      </c>
      <c r="AB51" s="69">
        <f t="shared" si="47"/>
        <v>70</v>
      </c>
      <c r="AC51" s="69">
        <f t="shared" si="47"/>
        <v>122</v>
      </c>
      <c r="AD51" s="69">
        <f t="shared" si="47"/>
        <v>1030</v>
      </c>
    </row>
    <row r="52" ht="18.75" customHeight="1">
      <c r="A52" s="55"/>
      <c r="B52" s="24"/>
      <c r="C52" s="24"/>
      <c r="D52" s="10"/>
      <c r="E52" s="30" t="s">
        <v>26</v>
      </c>
      <c r="F52" s="25">
        <v>540.0</v>
      </c>
      <c r="G52" s="24"/>
      <c r="H52" s="24"/>
      <c r="I52" s="24"/>
      <c r="J52" s="70"/>
      <c r="K52" s="90">
        <v>13.0</v>
      </c>
      <c r="L52" s="91">
        <v>1.0</v>
      </c>
      <c r="M52" s="91">
        <v>27.0</v>
      </c>
      <c r="N52" s="69">
        <f t="shared" si="48"/>
        <v>41</v>
      </c>
      <c r="O52" s="58">
        <v>13.0</v>
      </c>
      <c r="P52" s="59">
        <v>1.0</v>
      </c>
      <c r="Q52" s="59">
        <v>27.0</v>
      </c>
      <c r="R52" s="69">
        <f t="shared" si="49"/>
        <v>41</v>
      </c>
      <c r="S52" s="90">
        <v>0.0</v>
      </c>
      <c r="T52" s="91">
        <v>0.0</v>
      </c>
      <c r="U52" s="91">
        <v>0.0</v>
      </c>
      <c r="V52" s="69">
        <f t="shared" si="50"/>
        <v>0</v>
      </c>
      <c r="W52" s="90">
        <v>0.0</v>
      </c>
      <c r="X52" s="91">
        <v>0.0</v>
      </c>
      <c r="Y52" s="91">
        <v>0.0</v>
      </c>
      <c r="Z52" s="82">
        <f t="shared" si="51"/>
        <v>0</v>
      </c>
      <c r="AA52" s="69">
        <f t="shared" ref="AA52:AD52" si="52">K52+O52+S52+W52</f>
        <v>26</v>
      </c>
      <c r="AB52" s="69">
        <f t="shared" si="52"/>
        <v>2</v>
      </c>
      <c r="AC52" s="69">
        <f t="shared" si="52"/>
        <v>54</v>
      </c>
      <c r="AD52" s="69">
        <f t="shared" si="52"/>
        <v>82</v>
      </c>
    </row>
    <row r="53" ht="15.75" customHeight="1">
      <c r="A53" s="55"/>
      <c r="B53" s="24"/>
      <c r="C53" s="24"/>
      <c r="D53" s="15" t="s">
        <v>27</v>
      </c>
      <c r="E53" s="30" t="s">
        <v>28</v>
      </c>
      <c r="F53" s="25">
        <v>90.0</v>
      </c>
      <c r="G53" s="24"/>
      <c r="H53" s="24"/>
      <c r="I53" s="24"/>
      <c r="J53" s="70"/>
      <c r="K53" s="90">
        <v>0.0</v>
      </c>
      <c r="L53" s="91">
        <v>0.0</v>
      </c>
      <c r="M53" s="91">
        <v>0.0</v>
      </c>
      <c r="N53" s="69">
        <f t="shared" si="48"/>
        <v>0</v>
      </c>
      <c r="O53" s="58">
        <v>0.0</v>
      </c>
      <c r="P53" s="59">
        <v>0.0</v>
      </c>
      <c r="Q53" s="59">
        <v>0.0</v>
      </c>
      <c r="R53" s="69">
        <f t="shared" si="49"/>
        <v>0</v>
      </c>
      <c r="S53" s="90">
        <v>0.0</v>
      </c>
      <c r="T53" s="91">
        <v>0.0</v>
      </c>
      <c r="U53" s="91">
        <v>0.0</v>
      </c>
      <c r="V53" s="69">
        <f t="shared" si="50"/>
        <v>0</v>
      </c>
      <c r="W53" s="90">
        <v>0.0</v>
      </c>
      <c r="X53" s="91">
        <v>0.0</v>
      </c>
      <c r="Y53" s="91">
        <v>0.0</v>
      </c>
      <c r="Z53" s="69">
        <f t="shared" si="51"/>
        <v>0</v>
      </c>
      <c r="AA53" s="23">
        <f t="shared" ref="AA53:AD53" si="53">K53+O53+S53+W53</f>
        <v>0</v>
      </c>
      <c r="AB53" s="23">
        <f t="shared" si="53"/>
        <v>0</v>
      </c>
      <c r="AC53" s="23">
        <f t="shared" si="53"/>
        <v>0</v>
      </c>
      <c r="AD53" s="23">
        <f t="shared" si="53"/>
        <v>0</v>
      </c>
    </row>
    <row r="54" ht="15.75" customHeight="1">
      <c r="A54" s="55"/>
      <c r="B54" s="24"/>
      <c r="C54" s="24"/>
      <c r="D54" s="24"/>
      <c r="E54" s="30" t="s">
        <v>29</v>
      </c>
      <c r="F54" s="25">
        <v>90.0</v>
      </c>
      <c r="G54" s="24"/>
      <c r="H54" s="24"/>
      <c r="I54" s="24"/>
      <c r="J54" s="70"/>
      <c r="K54" s="90">
        <v>0.0</v>
      </c>
      <c r="L54" s="91">
        <v>0.0</v>
      </c>
      <c r="M54" s="91">
        <v>0.0</v>
      </c>
      <c r="N54" s="69">
        <f t="shared" si="48"/>
        <v>0</v>
      </c>
      <c r="O54" s="58">
        <v>0.0</v>
      </c>
      <c r="P54" s="59">
        <v>0.0</v>
      </c>
      <c r="Q54" s="59">
        <v>0.0</v>
      </c>
      <c r="R54" s="69">
        <f t="shared" si="49"/>
        <v>0</v>
      </c>
      <c r="S54" s="90">
        <v>0.0</v>
      </c>
      <c r="T54" s="91">
        <v>0.0</v>
      </c>
      <c r="U54" s="91">
        <v>0.0</v>
      </c>
      <c r="V54" s="69">
        <f t="shared" si="50"/>
        <v>0</v>
      </c>
      <c r="W54" s="90">
        <v>0.0</v>
      </c>
      <c r="X54" s="91">
        <v>0.0</v>
      </c>
      <c r="Y54" s="91">
        <v>0.0</v>
      </c>
      <c r="Z54" s="69">
        <f t="shared" si="51"/>
        <v>0</v>
      </c>
      <c r="AA54" s="23">
        <f t="shared" ref="AA54:AD54" si="54">K54+O54+S54+W54</f>
        <v>0</v>
      </c>
      <c r="AB54" s="23">
        <f t="shared" si="54"/>
        <v>0</v>
      </c>
      <c r="AC54" s="23">
        <f t="shared" si="54"/>
        <v>0</v>
      </c>
      <c r="AD54" s="23">
        <f t="shared" si="54"/>
        <v>0</v>
      </c>
    </row>
    <row r="55" ht="27.0" customHeight="1">
      <c r="A55" s="55"/>
      <c r="B55" s="24"/>
      <c r="C55" s="24"/>
      <c r="D55" s="24"/>
      <c r="E55" s="66" t="s">
        <v>30</v>
      </c>
      <c r="F55" s="32">
        <v>360.0</v>
      </c>
      <c r="G55" s="24"/>
      <c r="H55" s="24"/>
      <c r="I55" s="24"/>
      <c r="J55" s="70"/>
      <c r="K55" s="90">
        <v>504.0</v>
      </c>
      <c r="L55" s="91">
        <v>1.0</v>
      </c>
      <c r="M55" s="91">
        <v>131.0</v>
      </c>
      <c r="N55" s="69">
        <f t="shared" si="48"/>
        <v>636</v>
      </c>
      <c r="O55" s="58">
        <v>156.0</v>
      </c>
      <c r="P55" s="59">
        <v>0.0</v>
      </c>
      <c r="Q55" s="59">
        <v>46.0</v>
      </c>
      <c r="R55" s="69">
        <f t="shared" si="49"/>
        <v>202</v>
      </c>
      <c r="S55" s="90">
        <v>348.0</v>
      </c>
      <c r="T55" s="91">
        <v>1.0</v>
      </c>
      <c r="U55" s="91">
        <v>85.0</v>
      </c>
      <c r="V55" s="69">
        <f t="shared" si="50"/>
        <v>434</v>
      </c>
      <c r="W55" s="90">
        <v>229.0</v>
      </c>
      <c r="X55" s="91">
        <v>2.0</v>
      </c>
      <c r="Y55" s="91">
        <v>51.0</v>
      </c>
      <c r="Z55" s="69">
        <f t="shared" si="51"/>
        <v>282</v>
      </c>
      <c r="AA55" s="23">
        <f t="shared" ref="AA55:AD55" si="55">K55+O55+S55+W55</f>
        <v>1237</v>
      </c>
      <c r="AB55" s="23">
        <f t="shared" si="55"/>
        <v>4</v>
      </c>
      <c r="AC55" s="23">
        <f t="shared" si="55"/>
        <v>313</v>
      </c>
      <c r="AD55" s="23">
        <f t="shared" si="55"/>
        <v>1554</v>
      </c>
    </row>
    <row r="56" ht="15.75" customHeight="1">
      <c r="A56" s="55"/>
      <c r="B56" s="24"/>
      <c r="C56" s="24"/>
      <c r="D56" s="24"/>
      <c r="E56" s="30" t="s">
        <v>31</v>
      </c>
      <c r="F56" s="25">
        <v>210.0</v>
      </c>
      <c r="G56" s="24"/>
      <c r="H56" s="24"/>
      <c r="I56" s="24"/>
      <c r="J56" s="70"/>
      <c r="K56" s="90">
        <v>202.0</v>
      </c>
      <c r="L56" s="91">
        <v>1.0</v>
      </c>
      <c r="M56" s="91">
        <v>65.0</v>
      </c>
      <c r="N56" s="69">
        <f t="shared" si="48"/>
        <v>268</v>
      </c>
      <c r="O56" s="58">
        <v>160.0</v>
      </c>
      <c r="P56" s="59">
        <v>1.0</v>
      </c>
      <c r="Q56" s="59">
        <v>54.0</v>
      </c>
      <c r="R56" s="69">
        <f t="shared" si="49"/>
        <v>215</v>
      </c>
      <c r="S56" s="90">
        <v>42.0</v>
      </c>
      <c r="T56" s="91">
        <v>0.0</v>
      </c>
      <c r="U56" s="91">
        <v>11.0</v>
      </c>
      <c r="V56" s="69">
        <f t="shared" si="50"/>
        <v>53</v>
      </c>
      <c r="W56" s="90">
        <v>42.0</v>
      </c>
      <c r="X56" s="91">
        <v>0.0</v>
      </c>
      <c r="Y56" s="91">
        <v>11.0</v>
      </c>
      <c r="Z56" s="69">
        <f t="shared" si="51"/>
        <v>53</v>
      </c>
      <c r="AA56" s="23">
        <f t="shared" ref="AA56:AD56" si="56">K56+O56+S56+W56</f>
        <v>446</v>
      </c>
      <c r="AB56" s="23">
        <f t="shared" si="56"/>
        <v>2</v>
      </c>
      <c r="AC56" s="23">
        <f t="shared" si="56"/>
        <v>141</v>
      </c>
      <c r="AD56" s="23">
        <f t="shared" si="56"/>
        <v>589</v>
      </c>
    </row>
    <row r="57" ht="15.75" customHeight="1">
      <c r="A57" s="55"/>
      <c r="B57" s="24"/>
      <c r="C57" s="24"/>
      <c r="D57" s="24"/>
      <c r="E57" s="30" t="s">
        <v>32</v>
      </c>
      <c r="F57" s="25">
        <v>210.0</v>
      </c>
      <c r="G57" s="24"/>
      <c r="H57" s="24"/>
      <c r="I57" s="24"/>
      <c r="J57" s="70"/>
      <c r="K57" s="90">
        <v>572.0</v>
      </c>
      <c r="L57" s="91">
        <v>2.0</v>
      </c>
      <c r="M57" s="91">
        <v>202.0</v>
      </c>
      <c r="N57" s="69">
        <f t="shared" si="48"/>
        <v>776</v>
      </c>
      <c r="O57" s="58">
        <v>189.0</v>
      </c>
      <c r="P57" s="59">
        <v>1.0</v>
      </c>
      <c r="Q57" s="59">
        <v>87.0</v>
      </c>
      <c r="R57" s="69">
        <f t="shared" si="49"/>
        <v>277</v>
      </c>
      <c r="S57" s="90">
        <v>383.0</v>
      </c>
      <c r="T57" s="91">
        <v>1.0</v>
      </c>
      <c r="U57" s="91">
        <v>115.0</v>
      </c>
      <c r="V57" s="69">
        <f t="shared" si="50"/>
        <v>499</v>
      </c>
      <c r="W57" s="90">
        <v>255.0</v>
      </c>
      <c r="X57" s="91">
        <v>2.0</v>
      </c>
      <c r="Y57" s="91">
        <v>50.0</v>
      </c>
      <c r="Z57" s="69">
        <f t="shared" si="51"/>
        <v>307</v>
      </c>
      <c r="AA57" s="23">
        <f t="shared" ref="AA57:AD57" si="57">K57+O57+S57+W57</f>
        <v>1399</v>
      </c>
      <c r="AB57" s="23">
        <f t="shared" si="57"/>
        <v>6</v>
      </c>
      <c r="AC57" s="23">
        <f t="shared" si="57"/>
        <v>454</v>
      </c>
      <c r="AD57" s="23">
        <f t="shared" si="57"/>
        <v>1859</v>
      </c>
    </row>
    <row r="58" ht="15.75" customHeight="1">
      <c r="A58" s="55"/>
      <c r="B58" s="24"/>
      <c r="C58" s="24"/>
      <c r="D58" s="10"/>
      <c r="E58" s="30" t="s">
        <v>33</v>
      </c>
      <c r="F58" s="25">
        <v>90.0</v>
      </c>
      <c r="G58" s="24"/>
      <c r="H58" s="24"/>
      <c r="I58" s="24"/>
      <c r="J58" s="70"/>
      <c r="K58" s="90">
        <v>15.0</v>
      </c>
      <c r="L58" s="91">
        <v>0.0</v>
      </c>
      <c r="M58" s="91">
        <v>15.0</v>
      </c>
      <c r="N58" s="69">
        <f t="shared" si="48"/>
        <v>30</v>
      </c>
      <c r="O58" s="58">
        <v>15.0</v>
      </c>
      <c r="P58" s="59">
        <v>0.0</v>
      </c>
      <c r="Q58" s="59">
        <v>15.0</v>
      </c>
      <c r="R58" s="69">
        <f t="shared" si="49"/>
        <v>30</v>
      </c>
      <c r="S58" s="90">
        <v>0.0</v>
      </c>
      <c r="T58" s="91">
        <v>0.0</v>
      </c>
      <c r="U58" s="91">
        <v>0.0</v>
      </c>
      <c r="V58" s="69">
        <f t="shared" si="50"/>
        <v>0</v>
      </c>
      <c r="W58" s="90">
        <v>0.0</v>
      </c>
      <c r="X58" s="91">
        <v>0.0</v>
      </c>
      <c r="Y58" s="91">
        <v>0.0</v>
      </c>
      <c r="Z58" s="69">
        <f t="shared" si="51"/>
        <v>0</v>
      </c>
      <c r="AA58" s="23">
        <f t="shared" ref="AA58:AD58" si="58">K58+O58+S58+W58</f>
        <v>30</v>
      </c>
      <c r="AB58" s="23">
        <f t="shared" si="58"/>
        <v>0</v>
      </c>
      <c r="AC58" s="23">
        <f t="shared" si="58"/>
        <v>30</v>
      </c>
      <c r="AD58" s="23">
        <f t="shared" si="58"/>
        <v>60</v>
      </c>
    </row>
    <row r="59" ht="15.75" customHeight="1">
      <c r="A59" s="55"/>
      <c r="B59" s="24"/>
      <c r="C59" s="24"/>
      <c r="D59" s="33" t="s">
        <v>34</v>
      </c>
      <c r="E59" s="34" t="s">
        <v>35</v>
      </c>
      <c r="F59" s="25">
        <v>90.0</v>
      </c>
      <c r="G59" s="24"/>
      <c r="H59" s="24"/>
      <c r="I59" s="24"/>
      <c r="J59" s="70"/>
      <c r="K59" s="90">
        <v>30.0</v>
      </c>
      <c r="L59" s="91">
        <v>0.0</v>
      </c>
      <c r="M59" s="91">
        <v>0.0</v>
      </c>
      <c r="N59" s="69">
        <f t="shared" si="48"/>
        <v>30</v>
      </c>
      <c r="O59" s="90">
        <v>30.0</v>
      </c>
      <c r="P59" s="91">
        <v>0.0</v>
      </c>
      <c r="Q59" s="91">
        <v>0.0</v>
      </c>
      <c r="R59" s="69">
        <f t="shared" si="49"/>
        <v>30</v>
      </c>
      <c r="S59" s="90">
        <v>0.0</v>
      </c>
      <c r="T59" s="91">
        <v>0.0</v>
      </c>
      <c r="U59" s="91">
        <v>0.0</v>
      </c>
      <c r="V59" s="69">
        <f t="shared" si="50"/>
        <v>0</v>
      </c>
      <c r="W59" s="90">
        <v>0.0</v>
      </c>
      <c r="X59" s="91">
        <v>0.0</v>
      </c>
      <c r="Y59" s="91">
        <v>0.0</v>
      </c>
      <c r="Z59" s="69">
        <f t="shared" si="51"/>
        <v>0</v>
      </c>
      <c r="AA59" s="23">
        <f t="shared" ref="AA59:AD59" si="59">K59+O59+S59+W59</f>
        <v>60</v>
      </c>
      <c r="AB59" s="23">
        <f t="shared" si="59"/>
        <v>0</v>
      </c>
      <c r="AC59" s="23">
        <f t="shared" si="59"/>
        <v>0</v>
      </c>
      <c r="AD59" s="23">
        <f t="shared" si="59"/>
        <v>60</v>
      </c>
    </row>
    <row r="60" ht="15.75" customHeight="1">
      <c r="A60" s="55"/>
      <c r="B60" s="24"/>
      <c r="C60" s="24"/>
      <c r="D60" s="24"/>
      <c r="E60" s="34" t="s">
        <v>36</v>
      </c>
      <c r="F60" s="25">
        <v>90.0</v>
      </c>
      <c r="G60" s="24"/>
      <c r="H60" s="24"/>
      <c r="I60" s="24"/>
      <c r="J60" s="70"/>
      <c r="K60" s="90">
        <v>0.0</v>
      </c>
      <c r="L60" s="91">
        <v>0.0</v>
      </c>
      <c r="M60" s="91">
        <v>0.0</v>
      </c>
      <c r="N60" s="69">
        <f t="shared" si="48"/>
        <v>0</v>
      </c>
      <c r="O60" s="90">
        <v>0.0</v>
      </c>
      <c r="P60" s="91">
        <v>0.0</v>
      </c>
      <c r="Q60" s="91">
        <v>0.0</v>
      </c>
      <c r="R60" s="69">
        <f t="shared" si="49"/>
        <v>0</v>
      </c>
      <c r="S60" s="90">
        <v>0.0</v>
      </c>
      <c r="T60" s="91">
        <v>0.0</v>
      </c>
      <c r="U60" s="91">
        <v>0.0</v>
      </c>
      <c r="V60" s="69">
        <f t="shared" si="50"/>
        <v>0</v>
      </c>
      <c r="W60" s="90">
        <v>0.0</v>
      </c>
      <c r="X60" s="91">
        <v>0.0</v>
      </c>
      <c r="Y60" s="91">
        <v>0.0</v>
      </c>
      <c r="Z60" s="69">
        <f t="shared" si="51"/>
        <v>0</v>
      </c>
      <c r="AA60" s="23">
        <f t="shared" ref="AA60:AD60" si="60">K60+O60+S60+W60</f>
        <v>0</v>
      </c>
      <c r="AB60" s="23">
        <f t="shared" si="60"/>
        <v>0</v>
      </c>
      <c r="AC60" s="23">
        <f t="shared" si="60"/>
        <v>0</v>
      </c>
      <c r="AD60" s="23">
        <f t="shared" si="60"/>
        <v>0</v>
      </c>
    </row>
    <row r="61" ht="15.75" customHeight="1">
      <c r="A61" s="55"/>
      <c r="B61" s="24"/>
      <c r="C61" s="24"/>
      <c r="D61" s="24"/>
      <c r="E61" s="39" t="s">
        <v>37</v>
      </c>
      <c r="F61" s="32">
        <v>360.0</v>
      </c>
      <c r="G61" s="24"/>
      <c r="H61" s="24"/>
      <c r="I61" s="24"/>
      <c r="J61" s="70"/>
      <c r="K61" s="90">
        <v>0.0</v>
      </c>
      <c r="L61" s="91">
        <v>0.0</v>
      </c>
      <c r="M61" s="91">
        <v>0.0</v>
      </c>
      <c r="N61" s="69">
        <f t="shared" si="48"/>
        <v>0</v>
      </c>
      <c r="O61" s="90">
        <v>0.0</v>
      </c>
      <c r="P61" s="91">
        <v>0.0</v>
      </c>
      <c r="Q61" s="91">
        <v>0.0</v>
      </c>
      <c r="R61" s="69">
        <f t="shared" si="49"/>
        <v>0</v>
      </c>
      <c r="S61" s="90">
        <v>0.0</v>
      </c>
      <c r="T61" s="91">
        <v>0.0</v>
      </c>
      <c r="U61" s="91">
        <v>0.0</v>
      </c>
      <c r="V61" s="69">
        <f t="shared" si="50"/>
        <v>0</v>
      </c>
      <c r="W61" s="90">
        <v>0.0</v>
      </c>
      <c r="X61" s="91">
        <v>0.0</v>
      </c>
      <c r="Y61" s="91">
        <v>0.0</v>
      </c>
      <c r="Z61" s="69">
        <f t="shared" si="51"/>
        <v>0</v>
      </c>
      <c r="AA61" s="23">
        <f t="shared" ref="AA61:AD61" si="61">K61+O61+S61+W61</f>
        <v>0</v>
      </c>
      <c r="AB61" s="23">
        <f t="shared" si="61"/>
        <v>0</v>
      </c>
      <c r="AC61" s="23">
        <f t="shared" si="61"/>
        <v>0</v>
      </c>
      <c r="AD61" s="23">
        <f t="shared" si="61"/>
        <v>0</v>
      </c>
    </row>
    <row r="62" ht="15.75" customHeight="1">
      <c r="A62" s="55"/>
      <c r="B62" s="24"/>
      <c r="C62" s="24"/>
      <c r="D62" s="24"/>
      <c r="E62" s="34" t="s">
        <v>38</v>
      </c>
      <c r="F62" s="25">
        <v>390.0</v>
      </c>
      <c r="G62" s="24"/>
      <c r="H62" s="24"/>
      <c r="I62" s="24"/>
      <c r="J62" s="70"/>
      <c r="K62" s="90">
        <v>7.0</v>
      </c>
      <c r="L62" s="91">
        <v>35.0</v>
      </c>
      <c r="M62" s="91">
        <v>18.0</v>
      </c>
      <c r="N62" s="69">
        <f t="shared" si="48"/>
        <v>60</v>
      </c>
      <c r="O62" s="90">
        <v>7.0</v>
      </c>
      <c r="P62" s="91">
        <v>35.0</v>
      </c>
      <c r="Q62" s="91">
        <v>18.0</v>
      </c>
      <c r="R62" s="69">
        <f t="shared" si="49"/>
        <v>60</v>
      </c>
      <c r="S62" s="90">
        <v>0.0</v>
      </c>
      <c r="T62" s="91">
        <v>0.0</v>
      </c>
      <c r="U62" s="91">
        <v>0.0</v>
      </c>
      <c r="V62" s="69">
        <f t="shared" si="50"/>
        <v>0</v>
      </c>
      <c r="W62" s="90">
        <v>0.0</v>
      </c>
      <c r="X62" s="91">
        <v>0.0</v>
      </c>
      <c r="Y62" s="91">
        <v>0.0</v>
      </c>
      <c r="Z62" s="69">
        <f t="shared" si="51"/>
        <v>0</v>
      </c>
      <c r="AA62" s="23">
        <f t="shared" ref="AA62:AD62" si="62">K62+O62+S62+W62</f>
        <v>14</v>
      </c>
      <c r="AB62" s="23">
        <f t="shared" si="62"/>
        <v>70</v>
      </c>
      <c r="AC62" s="23">
        <f t="shared" si="62"/>
        <v>36</v>
      </c>
      <c r="AD62" s="23">
        <f t="shared" si="62"/>
        <v>120</v>
      </c>
    </row>
    <row r="63" ht="15.75" customHeight="1">
      <c r="A63" s="55"/>
      <c r="B63" s="24"/>
      <c r="C63" s="24"/>
      <c r="D63" s="24"/>
      <c r="E63" s="34" t="s">
        <v>39</v>
      </c>
      <c r="F63" s="25">
        <v>150.0</v>
      </c>
      <c r="G63" s="24"/>
      <c r="H63" s="24"/>
      <c r="I63" s="24"/>
      <c r="J63" s="70"/>
      <c r="K63" s="90">
        <v>0.0</v>
      </c>
      <c r="L63" s="91">
        <v>0.0</v>
      </c>
      <c r="M63" s="91">
        <v>0.0</v>
      </c>
      <c r="N63" s="69">
        <f t="shared" si="48"/>
        <v>0</v>
      </c>
      <c r="O63" s="90">
        <v>0.0</v>
      </c>
      <c r="P63" s="91">
        <v>0.0</v>
      </c>
      <c r="Q63" s="91">
        <v>0.0</v>
      </c>
      <c r="R63" s="69">
        <f t="shared" si="49"/>
        <v>0</v>
      </c>
      <c r="S63" s="90">
        <v>0.0</v>
      </c>
      <c r="T63" s="91">
        <v>0.0</v>
      </c>
      <c r="U63" s="91">
        <v>0.0</v>
      </c>
      <c r="V63" s="69">
        <f t="shared" si="50"/>
        <v>0</v>
      </c>
      <c r="W63" s="90">
        <v>0.0</v>
      </c>
      <c r="X63" s="91">
        <v>0.0</v>
      </c>
      <c r="Y63" s="91">
        <v>0.0</v>
      </c>
      <c r="Z63" s="69">
        <f t="shared" si="51"/>
        <v>0</v>
      </c>
      <c r="AA63" s="23">
        <f t="shared" ref="AA63:AD63" si="63">K63+O63+S63+W63</f>
        <v>0</v>
      </c>
      <c r="AB63" s="23">
        <f t="shared" si="63"/>
        <v>0</v>
      </c>
      <c r="AC63" s="23">
        <f t="shared" si="63"/>
        <v>0</v>
      </c>
      <c r="AD63" s="23">
        <f t="shared" si="63"/>
        <v>0</v>
      </c>
    </row>
    <row r="64" ht="15.75" customHeight="1">
      <c r="A64" s="55"/>
      <c r="B64" s="24"/>
      <c r="C64" s="24"/>
      <c r="D64" s="24"/>
      <c r="E64" s="34" t="s">
        <v>40</v>
      </c>
      <c r="F64" s="25">
        <v>90.0</v>
      </c>
      <c r="G64" s="24"/>
      <c r="H64" s="24"/>
      <c r="I64" s="24"/>
      <c r="J64" s="70"/>
      <c r="K64" s="90">
        <v>0.0</v>
      </c>
      <c r="L64" s="91">
        <v>0.0</v>
      </c>
      <c r="M64" s="91">
        <v>0.0</v>
      </c>
      <c r="N64" s="69">
        <f t="shared" si="48"/>
        <v>0</v>
      </c>
      <c r="O64" s="90">
        <v>0.0</v>
      </c>
      <c r="P64" s="91">
        <v>0.0</v>
      </c>
      <c r="Q64" s="91">
        <v>0.0</v>
      </c>
      <c r="R64" s="69">
        <f t="shared" si="49"/>
        <v>0</v>
      </c>
      <c r="S64" s="90">
        <v>0.0</v>
      </c>
      <c r="T64" s="91">
        <v>0.0</v>
      </c>
      <c r="U64" s="91">
        <v>0.0</v>
      </c>
      <c r="V64" s="69">
        <f t="shared" si="50"/>
        <v>0</v>
      </c>
      <c r="W64" s="90">
        <v>0.0</v>
      </c>
      <c r="X64" s="91">
        <v>0.0</v>
      </c>
      <c r="Y64" s="91">
        <v>0.0</v>
      </c>
      <c r="Z64" s="69">
        <f t="shared" si="51"/>
        <v>0</v>
      </c>
      <c r="AA64" s="23">
        <f t="shared" ref="AA64:AD64" si="64">K64+O64+S64+W64</f>
        <v>0</v>
      </c>
      <c r="AB64" s="23">
        <f t="shared" si="64"/>
        <v>0</v>
      </c>
      <c r="AC64" s="23">
        <f t="shared" si="64"/>
        <v>0</v>
      </c>
      <c r="AD64" s="23">
        <f t="shared" si="64"/>
        <v>0</v>
      </c>
    </row>
    <row r="65" ht="15.75" customHeight="1">
      <c r="A65" s="55"/>
      <c r="B65" s="24"/>
      <c r="C65" s="24"/>
      <c r="D65" s="24"/>
      <c r="E65" s="39" t="s">
        <v>47</v>
      </c>
      <c r="F65" s="92">
        <v>330.0</v>
      </c>
      <c r="G65" s="24"/>
      <c r="H65" s="24"/>
      <c r="I65" s="24"/>
      <c r="J65" s="70"/>
      <c r="K65" s="90">
        <v>10.0</v>
      </c>
      <c r="L65" s="91">
        <v>32.0</v>
      </c>
      <c r="M65" s="91">
        <v>18.0</v>
      </c>
      <c r="N65" s="69">
        <f t="shared" si="48"/>
        <v>60</v>
      </c>
      <c r="O65" s="90">
        <v>10.0</v>
      </c>
      <c r="P65" s="91">
        <v>32.0</v>
      </c>
      <c r="Q65" s="91">
        <v>18.0</v>
      </c>
      <c r="R65" s="69">
        <f t="shared" si="49"/>
        <v>60</v>
      </c>
      <c r="S65" s="90">
        <v>0.0</v>
      </c>
      <c r="T65" s="91">
        <v>0.0</v>
      </c>
      <c r="U65" s="91">
        <v>0.0</v>
      </c>
      <c r="V65" s="69">
        <f t="shared" si="50"/>
        <v>0</v>
      </c>
      <c r="W65" s="90">
        <v>0.0</v>
      </c>
      <c r="X65" s="91">
        <v>0.0</v>
      </c>
      <c r="Y65" s="91">
        <v>0.0</v>
      </c>
      <c r="Z65" s="69">
        <f t="shared" si="51"/>
        <v>0</v>
      </c>
      <c r="AA65" s="23"/>
      <c r="AB65" s="23"/>
      <c r="AC65" s="23"/>
      <c r="AD65" s="23"/>
    </row>
    <row r="66" ht="15.75" customHeight="1">
      <c r="A66" s="55"/>
      <c r="B66" s="10"/>
      <c r="C66" s="10"/>
      <c r="D66" s="10"/>
      <c r="E66" s="34" t="s">
        <v>48</v>
      </c>
      <c r="F66" s="25">
        <v>330.0</v>
      </c>
      <c r="G66" s="10"/>
      <c r="H66" s="10"/>
      <c r="I66" s="10"/>
      <c r="J66" s="70"/>
      <c r="K66" s="90">
        <v>50.0</v>
      </c>
      <c r="L66" s="91">
        <v>19.0</v>
      </c>
      <c r="M66" s="91">
        <v>21.0</v>
      </c>
      <c r="N66" s="69">
        <f t="shared" si="48"/>
        <v>90</v>
      </c>
      <c r="O66" s="58">
        <v>50.0</v>
      </c>
      <c r="P66" s="59">
        <v>19.0</v>
      </c>
      <c r="Q66" s="59">
        <v>21.0</v>
      </c>
      <c r="R66" s="69">
        <f t="shared" si="49"/>
        <v>90</v>
      </c>
      <c r="S66" s="90">
        <v>0.0</v>
      </c>
      <c r="T66" s="91">
        <v>0.0</v>
      </c>
      <c r="U66" s="91">
        <v>0.0</v>
      </c>
      <c r="V66" s="69">
        <f t="shared" si="50"/>
        <v>0</v>
      </c>
      <c r="W66" s="90">
        <v>0.0</v>
      </c>
      <c r="X66" s="91">
        <v>0.0</v>
      </c>
      <c r="Y66" s="91">
        <v>0.0</v>
      </c>
      <c r="Z66" s="69">
        <f t="shared" si="51"/>
        <v>0</v>
      </c>
      <c r="AA66" s="23">
        <f t="shared" ref="AA66:AD66" si="65">K66+O66+S66+W66</f>
        <v>100</v>
      </c>
      <c r="AB66" s="23">
        <f t="shared" si="65"/>
        <v>38</v>
      </c>
      <c r="AC66" s="23">
        <f t="shared" si="65"/>
        <v>42</v>
      </c>
      <c r="AD66" s="23">
        <f t="shared" si="65"/>
        <v>180</v>
      </c>
    </row>
    <row r="67" ht="15.75" customHeight="1">
      <c r="A67" s="41"/>
      <c r="B67" s="42"/>
      <c r="C67" s="42"/>
      <c r="D67" s="42"/>
      <c r="E67" s="43" t="s">
        <v>21</v>
      </c>
      <c r="F67" s="44"/>
      <c r="G67" s="44">
        <f t="shared" ref="G67:J67" si="66">SUM(G51)</f>
        <v>5840</v>
      </c>
      <c r="H67" s="44">
        <f t="shared" si="66"/>
        <v>2500</v>
      </c>
      <c r="I67" s="44">
        <f t="shared" si="66"/>
        <v>8340</v>
      </c>
      <c r="J67" s="45">
        <f t="shared" si="66"/>
        <v>0</v>
      </c>
      <c r="K67" s="71">
        <f t="shared" ref="K67:AD67" si="67">SUM(K51:K66)</f>
        <v>1822</v>
      </c>
      <c r="L67" s="71">
        <f t="shared" si="67"/>
        <v>126</v>
      </c>
      <c r="M67" s="71">
        <f t="shared" si="67"/>
        <v>558</v>
      </c>
      <c r="N67" s="71">
        <f t="shared" si="67"/>
        <v>2506</v>
      </c>
      <c r="O67" s="71">
        <f t="shared" si="67"/>
        <v>981</v>
      </c>
      <c r="P67" s="71">
        <f t="shared" si="67"/>
        <v>112</v>
      </c>
      <c r="Q67" s="71">
        <f t="shared" si="67"/>
        <v>337</v>
      </c>
      <c r="R67" s="71">
        <f t="shared" si="67"/>
        <v>1430</v>
      </c>
      <c r="S67" s="71">
        <f t="shared" si="67"/>
        <v>841</v>
      </c>
      <c r="T67" s="71">
        <f t="shared" si="67"/>
        <v>14</v>
      </c>
      <c r="U67" s="71">
        <f t="shared" si="67"/>
        <v>221</v>
      </c>
      <c r="V67" s="71">
        <f t="shared" si="67"/>
        <v>1076</v>
      </c>
      <c r="W67" s="71">
        <f t="shared" si="67"/>
        <v>526</v>
      </c>
      <c r="X67" s="71">
        <f t="shared" si="67"/>
        <v>4</v>
      </c>
      <c r="Y67" s="71">
        <f t="shared" si="67"/>
        <v>112</v>
      </c>
      <c r="Z67" s="71">
        <f t="shared" si="67"/>
        <v>642</v>
      </c>
      <c r="AA67" s="44">
        <f t="shared" si="67"/>
        <v>4150</v>
      </c>
      <c r="AB67" s="44">
        <f t="shared" si="67"/>
        <v>192</v>
      </c>
      <c r="AC67" s="44">
        <f t="shared" si="67"/>
        <v>1192</v>
      </c>
      <c r="AD67" s="44">
        <f t="shared" si="67"/>
        <v>5534</v>
      </c>
    </row>
    <row r="68" ht="15.75" customHeight="1">
      <c r="A68" s="93"/>
      <c r="B68" s="94"/>
      <c r="C68" s="95"/>
      <c r="D68" s="95"/>
      <c r="E68" s="96"/>
      <c r="F68" s="93"/>
      <c r="G68" s="97"/>
      <c r="H68" s="97"/>
      <c r="I68" s="98"/>
      <c r="J68" s="95"/>
      <c r="K68" s="99"/>
      <c r="L68" s="99"/>
      <c r="M68" s="99"/>
      <c r="N68" s="100"/>
      <c r="O68" s="99"/>
      <c r="P68" s="99"/>
      <c r="Q68" s="99"/>
      <c r="R68" s="101"/>
      <c r="S68" s="99"/>
      <c r="T68" s="99"/>
      <c r="U68" s="99"/>
      <c r="V68" s="101"/>
      <c r="W68" s="99"/>
      <c r="X68" s="99"/>
      <c r="Y68" s="99"/>
      <c r="Z68" s="101"/>
      <c r="AA68" s="97"/>
      <c r="AB68" s="97"/>
      <c r="AC68" s="97"/>
      <c r="AD68" s="97"/>
    </row>
    <row r="69" ht="15.75" customHeight="1">
      <c r="A69" s="102"/>
      <c r="B69" s="103"/>
      <c r="C69" s="104"/>
      <c r="D69" s="104"/>
      <c r="E69" s="105" t="s">
        <v>49</v>
      </c>
      <c r="F69" s="105"/>
      <c r="G69" s="106">
        <f t="shared" ref="G69:AD69" si="68">SUM(G17,G33,G49,G67)</f>
        <v>23360</v>
      </c>
      <c r="H69" s="106">
        <f t="shared" si="68"/>
        <v>10000</v>
      </c>
      <c r="I69" s="106">
        <f t="shared" si="68"/>
        <v>33360</v>
      </c>
      <c r="J69" s="107">
        <f t="shared" si="68"/>
        <v>1784</v>
      </c>
      <c r="K69" s="108">
        <f t="shared" si="68"/>
        <v>6958</v>
      </c>
      <c r="L69" s="108">
        <f t="shared" si="68"/>
        <v>2109</v>
      </c>
      <c r="M69" s="108">
        <f t="shared" si="68"/>
        <v>1750</v>
      </c>
      <c r="N69" s="108">
        <f t="shared" si="68"/>
        <v>10817</v>
      </c>
      <c r="O69" s="108">
        <f t="shared" si="68"/>
        <v>3644</v>
      </c>
      <c r="P69" s="108">
        <f t="shared" si="68"/>
        <v>1093</v>
      </c>
      <c r="Q69" s="108">
        <f t="shared" si="68"/>
        <v>1030</v>
      </c>
      <c r="R69" s="108">
        <f t="shared" si="68"/>
        <v>5767</v>
      </c>
      <c r="S69" s="108">
        <f t="shared" si="68"/>
        <v>3314</v>
      </c>
      <c r="T69" s="108">
        <f t="shared" si="68"/>
        <v>1016</v>
      </c>
      <c r="U69" s="108">
        <f t="shared" si="68"/>
        <v>720</v>
      </c>
      <c r="V69" s="108">
        <f t="shared" si="68"/>
        <v>5050</v>
      </c>
      <c r="W69" s="108">
        <f t="shared" si="68"/>
        <v>1508</v>
      </c>
      <c r="X69" s="108">
        <f t="shared" si="68"/>
        <v>553</v>
      </c>
      <c r="Y69" s="108">
        <f t="shared" si="68"/>
        <v>374</v>
      </c>
      <c r="Z69" s="108">
        <f t="shared" si="68"/>
        <v>2435</v>
      </c>
      <c r="AA69" s="106">
        <f t="shared" si="68"/>
        <v>13029</v>
      </c>
      <c r="AB69" s="106">
        <f t="shared" si="68"/>
        <v>3419</v>
      </c>
      <c r="AC69" s="106">
        <f t="shared" si="68"/>
        <v>3698</v>
      </c>
      <c r="AD69" s="106">
        <f t="shared" si="68"/>
        <v>20146</v>
      </c>
    </row>
    <row r="70" ht="15.75" customHeight="1">
      <c r="A70" s="109"/>
      <c r="B70" s="110"/>
      <c r="C70" s="64"/>
      <c r="D70" s="64"/>
      <c r="E70" s="111"/>
      <c r="F70" s="109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64"/>
      <c r="V70" s="112"/>
      <c r="W70" s="64"/>
      <c r="X70" s="64"/>
      <c r="Y70" s="64"/>
      <c r="Z70" s="112"/>
      <c r="AA70" s="112"/>
      <c r="AB70" s="112"/>
      <c r="AC70" s="112"/>
      <c r="AD70" s="112"/>
    </row>
    <row r="71" ht="15.75" customHeight="1">
      <c r="A71" s="109"/>
      <c r="B71" s="110"/>
      <c r="C71" s="64"/>
      <c r="D71" s="64"/>
      <c r="E71" s="111"/>
      <c r="F71" s="109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64"/>
      <c r="V71" s="112"/>
      <c r="W71" s="64"/>
      <c r="X71" s="64"/>
      <c r="Y71" s="64"/>
      <c r="Z71" s="112"/>
      <c r="AA71" s="112"/>
      <c r="AB71" s="112"/>
      <c r="AC71" s="112"/>
      <c r="AD71" s="112"/>
    </row>
    <row r="72" ht="15.75" customHeight="1">
      <c r="A72" s="109"/>
      <c r="B72" s="110"/>
      <c r="C72" s="64"/>
      <c r="D72" s="64"/>
      <c r="E72" s="111"/>
      <c r="F72" s="109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64"/>
      <c r="V72" s="112"/>
      <c r="W72" s="64"/>
      <c r="X72" s="64"/>
      <c r="Y72" s="64"/>
      <c r="Z72" s="112"/>
      <c r="AA72" s="112"/>
      <c r="AB72" s="112"/>
      <c r="AC72" s="112"/>
      <c r="AD72" s="112"/>
    </row>
    <row r="73" ht="15.75" customHeight="1">
      <c r="A73" s="109"/>
      <c r="B73" s="110"/>
      <c r="C73" s="64"/>
      <c r="D73" s="64"/>
      <c r="E73" s="111"/>
      <c r="F73" s="109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64"/>
      <c r="V73" s="112"/>
      <c r="W73" s="64"/>
      <c r="X73" s="64"/>
      <c r="Y73" s="64"/>
      <c r="Z73" s="112"/>
      <c r="AA73" s="112"/>
      <c r="AB73" s="112"/>
      <c r="AC73" s="112"/>
      <c r="AD73" s="112"/>
    </row>
    <row r="74" ht="15.75" customHeight="1">
      <c r="A74" s="109"/>
      <c r="B74" s="110"/>
      <c r="C74" s="64"/>
      <c r="D74" s="64"/>
      <c r="E74" s="111"/>
      <c r="F74" s="109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64"/>
      <c r="V74" s="112"/>
      <c r="W74" s="64"/>
      <c r="X74" s="64"/>
      <c r="Y74" s="64"/>
      <c r="Z74" s="112"/>
      <c r="AA74" s="112"/>
      <c r="AB74" s="112"/>
      <c r="AC74" s="112"/>
      <c r="AD74" s="112"/>
    </row>
    <row r="75" ht="15.75" customHeight="1">
      <c r="A75" s="109"/>
      <c r="B75" s="110"/>
      <c r="C75" s="64"/>
      <c r="D75" s="64"/>
      <c r="E75" s="111"/>
      <c r="F75" s="109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64"/>
      <c r="V75" s="112"/>
      <c r="W75" s="64"/>
      <c r="X75" s="64"/>
      <c r="Y75" s="64"/>
      <c r="Z75" s="112"/>
      <c r="AA75" s="112"/>
      <c r="AB75" s="112"/>
      <c r="AC75" s="112"/>
      <c r="AD75" s="112"/>
    </row>
    <row r="76" ht="15.75" customHeight="1">
      <c r="A76" s="109"/>
      <c r="B76" s="110"/>
      <c r="C76" s="64"/>
      <c r="D76" s="64"/>
      <c r="E76" s="111"/>
      <c r="F76" s="109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64"/>
      <c r="V76" s="112"/>
      <c r="W76" s="64"/>
      <c r="X76" s="64"/>
      <c r="Y76" s="64"/>
      <c r="Z76" s="112"/>
      <c r="AA76" s="112"/>
      <c r="AB76" s="112"/>
      <c r="AC76" s="112"/>
      <c r="AD76" s="112"/>
    </row>
    <row r="77" ht="15.75" customHeight="1">
      <c r="A77" s="109"/>
      <c r="B77" s="110"/>
      <c r="C77" s="64"/>
      <c r="D77" s="64"/>
      <c r="E77" s="111"/>
      <c r="F77" s="109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64"/>
      <c r="V77" s="112"/>
      <c r="W77" s="64"/>
      <c r="X77" s="64"/>
      <c r="Y77" s="64"/>
      <c r="Z77" s="112"/>
      <c r="AA77" s="112"/>
      <c r="AB77" s="112"/>
      <c r="AC77" s="112"/>
      <c r="AD77" s="112"/>
    </row>
    <row r="78" ht="15.75" customHeight="1">
      <c r="A78" s="109"/>
      <c r="B78" s="110"/>
      <c r="C78" s="64"/>
      <c r="D78" s="64"/>
      <c r="E78" s="111"/>
      <c r="F78" s="109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64"/>
      <c r="V78" s="112"/>
      <c r="W78" s="64"/>
      <c r="X78" s="64"/>
      <c r="Y78" s="64"/>
      <c r="Z78" s="112"/>
      <c r="AA78" s="112"/>
      <c r="AB78" s="112"/>
      <c r="AC78" s="112"/>
      <c r="AD78" s="112"/>
    </row>
    <row r="79" ht="15.75" customHeight="1">
      <c r="A79" s="109"/>
      <c r="B79" s="110"/>
      <c r="E79" s="113"/>
      <c r="F79" s="114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V79" s="112"/>
      <c r="Z79" s="112"/>
      <c r="AA79" s="112"/>
      <c r="AB79" s="112"/>
      <c r="AC79" s="112"/>
      <c r="AD79" s="112"/>
    </row>
    <row r="80" ht="15.75" customHeight="1">
      <c r="A80" s="109"/>
      <c r="B80" s="110"/>
      <c r="E80" s="113"/>
      <c r="F80" s="114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V80" s="112"/>
      <c r="Z80" s="112"/>
      <c r="AA80" s="112"/>
      <c r="AB80" s="112"/>
      <c r="AC80" s="112"/>
      <c r="AD80" s="112"/>
    </row>
    <row r="81" ht="15.75" customHeight="1">
      <c r="A81" s="109"/>
      <c r="B81" s="110"/>
      <c r="E81" s="113"/>
      <c r="F81" s="114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V81" s="112"/>
      <c r="Z81" s="112"/>
      <c r="AA81" s="112"/>
      <c r="AB81" s="112"/>
      <c r="AC81" s="112"/>
      <c r="AD81" s="112"/>
    </row>
    <row r="82" ht="15.75" customHeight="1">
      <c r="A82" s="109"/>
      <c r="B82" s="110"/>
      <c r="E82" s="113"/>
      <c r="F82" s="114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V82" s="112"/>
      <c r="Z82" s="112"/>
      <c r="AA82" s="112"/>
      <c r="AB82" s="112"/>
      <c r="AC82" s="112"/>
      <c r="AD82" s="112"/>
    </row>
    <row r="83" ht="15.75" customHeight="1">
      <c r="A83" s="109"/>
      <c r="B83" s="110"/>
      <c r="E83" s="113"/>
      <c r="F83" s="114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V83" s="112"/>
      <c r="Z83" s="112"/>
      <c r="AA83" s="112"/>
      <c r="AB83" s="112"/>
      <c r="AC83" s="112"/>
      <c r="AD83" s="112"/>
    </row>
    <row r="84" ht="15.75" customHeight="1">
      <c r="A84" s="109"/>
      <c r="B84" s="110"/>
      <c r="E84" s="113"/>
      <c r="F84" s="114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V84" s="112"/>
      <c r="Z84" s="112"/>
      <c r="AA84" s="112"/>
      <c r="AB84" s="112"/>
      <c r="AC84" s="112"/>
      <c r="AD84" s="112"/>
    </row>
    <row r="85" ht="15.75" customHeight="1">
      <c r="A85" s="109"/>
      <c r="B85" s="110"/>
      <c r="E85" s="113"/>
      <c r="F85" s="114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V85" s="112"/>
      <c r="Z85" s="112"/>
      <c r="AA85" s="112"/>
      <c r="AB85" s="112"/>
      <c r="AC85" s="112"/>
      <c r="AD85" s="112"/>
    </row>
    <row r="86" ht="15.75" customHeight="1">
      <c r="A86" s="109"/>
      <c r="B86" s="110"/>
      <c r="E86" s="113"/>
      <c r="F86" s="114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V86" s="112"/>
      <c r="Z86" s="112"/>
      <c r="AA86" s="112"/>
      <c r="AB86" s="112"/>
      <c r="AC86" s="112"/>
      <c r="AD86" s="112"/>
    </row>
    <row r="87" ht="15.75" customHeight="1">
      <c r="A87" s="109"/>
      <c r="B87" s="110"/>
      <c r="E87" s="113"/>
      <c r="F87" s="114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V87" s="112"/>
      <c r="Z87" s="112"/>
      <c r="AA87" s="112"/>
      <c r="AB87" s="112"/>
      <c r="AC87" s="112"/>
      <c r="AD87" s="112"/>
    </row>
    <row r="88" ht="15.75" customHeight="1">
      <c r="A88" s="109"/>
      <c r="B88" s="110"/>
      <c r="E88" s="113"/>
      <c r="F88" s="114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V88" s="112"/>
      <c r="Z88" s="112"/>
      <c r="AA88" s="112"/>
      <c r="AB88" s="112"/>
      <c r="AC88" s="112"/>
      <c r="AD88" s="112"/>
    </row>
    <row r="89" ht="15.75" customHeight="1">
      <c r="A89" s="109"/>
      <c r="B89" s="110"/>
      <c r="E89" s="113"/>
      <c r="F89" s="114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V89" s="112"/>
      <c r="Z89" s="112"/>
      <c r="AA89" s="112"/>
      <c r="AB89" s="112"/>
      <c r="AC89" s="112"/>
      <c r="AD89" s="112"/>
    </row>
    <row r="90" ht="15.75" customHeight="1">
      <c r="A90" s="109"/>
      <c r="B90" s="110"/>
      <c r="E90" s="113"/>
      <c r="F90" s="114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V90" s="112"/>
      <c r="Z90" s="112"/>
      <c r="AA90" s="112"/>
      <c r="AB90" s="112"/>
      <c r="AC90" s="112"/>
      <c r="AD90" s="112"/>
    </row>
    <row r="91" ht="15.75" customHeight="1">
      <c r="A91" s="109"/>
      <c r="B91" s="110"/>
      <c r="E91" s="113"/>
      <c r="F91" s="114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V91" s="112"/>
      <c r="Z91" s="112"/>
      <c r="AA91" s="112"/>
      <c r="AB91" s="112"/>
      <c r="AC91" s="112"/>
      <c r="AD91" s="112"/>
    </row>
    <row r="92" ht="15.75" customHeight="1">
      <c r="A92" s="109"/>
      <c r="B92" s="110"/>
      <c r="E92" s="113"/>
      <c r="F92" s="114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V92" s="112"/>
      <c r="Z92" s="112"/>
      <c r="AA92" s="112"/>
      <c r="AB92" s="112"/>
      <c r="AC92" s="112"/>
      <c r="AD92" s="112"/>
    </row>
    <row r="93" ht="15.75" customHeight="1">
      <c r="A93" s="109"/>
      <c r="B93" s="110"/>
      <c r="E93" s="113"/>
      <c r="F93" s="114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V93" s="112"/>
      <c r="Z93" s="112"/>
      <c r="AA93" s="112"/>
      <c r="AB93" s="112"/>
      <c r="AC93" s="112"/>
      <c r="AD93" s="112"/>
    </row>
    <row r="94" ht="15.75" customHeight="1">
      <c r="A94" s="109"/>
      <c r="B94" s="110"/>
      <c r="E94" s="113"/>
      <c r="F94" s="114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V94" s="112"/>
      <c r="Z94" s="112"/>
      <c r="AA94" s="112"/>
      <c r="AB94" s="112"/>
      <c r="AC94" s="112"/>
      <c r="AD94" s="112"/>
    </row>
    <row r="95" ht="15.75" customHeight="1">
      <c r="A95" s="109"/>
      <c r="B95" s="110"/>
      <c r="E95" s="113"/>
      <c r="F95" s="114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V95" s="112"/>
      <c r="Z95" s="112"/>
      <c r="AA95" s="112"/>
      <c r="AB95" s="112"/>
      <c r="AC95" s="112"/>
      <c r="AD95" s="112"/>
    </row>
    <row r="96" ht="15.75" customHeight="1">
      <c r="A96" s="109"/>
      <c r="B96" s="110"/>
      <c r="E96" s="113"/>
      <c r="F96" s="114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V96" s="112"/>
      <c r="Z96" s="112"/>
      <c r="AA96" s="112"/>
      <c r="AB96" s="112"/>
      <c r="AC96" s="112"/>
      <c r="AD96" s="112"/>
    </row>
    <row r="97" ht="15.75" customHeight="1">
      <c r="A97" s="109"/>
      <c r="B97" s="110"/>
      <c r="E97" s="113"/>
      <c r="F97" s="114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V97" s="112"/>
      <c r="Z97" s="112"/>
      <c r="AA97" s="112"/>
      <c r="AB97" s="112"/>
      <c r="AC97" s="112"/>
      <c r="AD97" s="112"/>
    </row>
    <row r="98" ht="15.75" customHeight="1">
      <c r="A98" s="109"/>
      <c r="B98" s="110"/>
      <c r="E98" s="113"/>
      <c r="F98" s="114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V98" s="112"/>
      <c r="Z98" s="112"/>
      <c r="AA98" s="112"/>
      <c r="AB98" s="112"/>
      <c r="AC98" s="112"/>
      <c r="AD98" s="112"/>
    </row>
    <row r="99" ht="15.75" customHeight="1">
      <c r="A99" s="109"/>
      <c r="B99" s="110"/>
      <c r="E99" s="113"/>
      <c r="F99" s="114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V99" s="112"/>
      <c r="Z99" s="112"/>
      <c r="AA99" s="112"/>
      <c r="AB99" s="112"/>
      <c r="AC99" s="112"/>
      <c r="AD99" s="112"/>
    </row>
    <row r="100" ht="15.75" customHeight="1">
      <c r="A100" s="109"/>
      <c r="B100" s="110"/>
      <c r="E100" s="113"/>
      <c r="F100" s="114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V100" s="112"/>
      <c r="Z100" s="112"/>
      <c r="AA100" s="112"/>
      <c r="AB100" s="112"/>
      <c r="AC100" s="112"/>
      <c r="AD100" s="112"/>
    </row>
    <row r="101" ht="15.75" customHeight="1">
      <c r="A101" s="109"/>
      <c r="B101" s="110"/>
      <c r="E101" s="113"/>
      <c r="F101" s="114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V101" s="112"/>
      <c r="Z101" s="112"/>
      <c r="AA101" s="112"/>
      <c r="AB101" s="112"/>
      <c r="AC101" s="112"/>
      <c r="AD101" s="112"/>
    </row>
    <row r="102" ht="15.75" customHeight="1">
      <c r="A102" s="109"/>
      <c r="B102" s="110"/>
      <c r="E102" s="113"/>
      <c r="F102" s="114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V102" s="112"/>
      <c r="Z102" s="112"/>
      <c r="AA102" s="112"/>
      <c r="AB102" s="112"/>
      <c r="AC102" s="112"/>
      <c r="AD102" s="112"/>
    </row>
    <row r="103" ht="15.75" customHeight="1">
      <c r="A103" s="109"/>
      <c r="B103" s="110"/>
      <c r="E103" s="113"/>
      <c r="F103" s="114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V103" s="112"/>
      <c r="Z103" s="112"/>
      <c r="AA103" s="112"/>
      <c r="AB103" s="112"/>
      <c r="AC103" s="112"/>
      <c r="AD103" s="112"/>
    </row>
    <row r="104" ht="15.75" customHeight="1">
      <c r="A104" s="109"/>
      <c r="B104" s="110"/>
      <c r="E104" s="113"/>
      <c r="F104" s="114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V104" s="112"/>
      <c r="Z104" s="112"/>
      <c r="AA104" s="112"/>
      <c r="AB104" s="112"/>
      <c r="AC104" s="112"/>
      <c r="AD104" s="112"/>
    </row>
    <row r="105" ht="15.75" customHeight="1">
      <c r="A105" s="109"/>
      <c r="B105" s="110"/>
      <c r="E105" s="113"/>
      <c r="F105" s="114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V105" s="112"/>
      <c r="Z105" s="112"/>
      <c r="AA105" s="112"/>
      <c r="AB105" s="112"/>
      <c r="AC105" s="112"/>
      <c r="AD105" s="112"/>
    </row>
    <row r="106" ht="15.75" customHeight="1">
      <c r="A106" s="109"/>
      <c r="B106" s="110"/>
      <c r="E106" s="113"/>
      <c r="F106" s="114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V106" s="112"/>
      <c r="Z106" s="112"/>
      <c r="AA106" s="112"/>
      <c r="AB106" s="112"/>
      <c r="AC106" s="112"/>
      <c r="AD106" s="112"/>
    </row>
    <row r="107" ht="15.75" customHeight="1">
      <c r="A107" s="109"/>
      <c r="B107" s="110"/>
      <c r="E107" s="113"/>
      <c r="F107" s="114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V107" s="112"/>
      <c r="Z107" s="112"/>
      <c r="AA107" s="112"/>
      <c r="AB107" s="112"/>
      <c r="AC107" s="112"/>
      <c r="AD107" s="112"/>
    </row>
    <row r="108" ht="15.75" customHeight="1">
      <c r="A108" s="109"/>
      <c r="B108" s="110"/>
      <c r="E108" s="113"/>
      <c r="F108" s="114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V108" s="112"/>
      <c r="Z108" s="112"/>
      <c r="AA108" s="112"/>
      <c r="AB108" s="112"/>
      <c r="AC108" s="112"/>
      <c r="AD108" s="112"/>
    </row>
    <row r="109" ht="15.75" customHeight="1">
      <c r="A109" s="109"/>
      <c r="B109" s="110"/>
      <c r="E109" s="113"/>
      <c r="F109" s="114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V109" s="112"/>
      <c r="Z109" s="112"/>
      <c r="AA109" s="112"/>
      <c r="AB109" s="112"/>
      <c r="AC109" s="112"/>
      <c r="AD109" s="112"/>
    </row>
    <row r="110" ht="15.75" customHeight="1">
      <c r="A110" s="109"/>
      <c r="B110" s="110"/>
      <c r="E110" s="113"/>
      <c r="F110" s="114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V110" s="112"/>
      <c r="Z110" s="112"/>
      <c r="AA110" s="112"/>
      <c r="AB110" s="112"/>
      <c r="AC110" s="112"/>
      <c r="AD110" s="112"/>
    </row>
    <row r="111" ht="15.75" customHeight="1">
      <c r="A111" s="109"/>
      <c r="B111" s="110"/>
      <c r="E111" s="113"/>
      <c r="F111" s="114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V111" s="112"/>
      <c r="Z111" s="112"/>
      <c r="AA111" s="112"/>
      <c r="AB111" s="112"/>
      <c r="AC111" s="112"/>
      <c r="AD111" s="112"/>
    </row>
    <row r="112" ht="15.75" customHeight="1">
      <c r="A112" s="109"/>
      <c r="B112" s="110"/>
      <c r="E112" s="113"/>
      <c r="F112" s="114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V112" s="112"/>
      <c r="Z112" s="112"/>
      <c r="AA112" s="112"/>
      <c r="AB112" s="112"/>
      <c r="AC112" s="112"/>
      <c r="AD112" s="112"/>
    </row>
    <row r="113" ht="15.75" customHeight="1">
      <c r="A113" s="109"/>
      <c r="B113" s="110"/>
      <c r="E113" s="113"/>
      <c r="F113" s="114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V113" s="112"/>
      <c r="Z113" s="112"/>
      <c r="AA113" s="112"/>
      <c r="AB113" s="112"/>
      <c r="AC113" s="112"/>
      <c r="AD113" s="112"/>
    </row>
    <row r="114" ht="15.75" customHeight="1">
      <c r="A114" s="109"/>
      <c r="B114" s="110"/>
      <c r="E114" s="113"/>
      <c r="F114" s="114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V114" s="112"/>
      <c r="Z114" s="112"/>
      <c r="AA114" s="112"/>
      <c r="AB114" s="112"/>
      <c r="AC114" s="112"/>
      <c r="AD114" s="112"/>
    </row>
    <row r="115" ht="15.75" customHeight="1">
      <c r="A115" s="109"/>
      <c r="B115" s="110"/>
      <c r="E115" s="113"/>
      <c r="F115" s="114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V115" s="112"/>
      <c r="Z115" s="112"/>
      <c r="AA115" s="112"/>
      <c r="AB115" s="112"/>
      <c r="AC115" s="112"/>
      <c r="AD115" s="112"/>
    </row>
    <row r="116" ht="15.75" customHeight="1">
      <c r="A116" s="109"/>
      <c r="B116" s="110"/>
      <c r="E116" s="113"/>
      <c r="F116" s="114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V116" s="112"/>
      <c r="Z116" s="112"/>
      <c r="AA116" s="112"/>
      <c r="AB116" s="112"/>
      <c r="AC116" s="112"/>
      <c r="AD116" s="112"/>
    </row>
    <row r="117" ht="15.75" customHeight="1">
      <c r="A117" s="109"/>
      <c r="B117" s="110"/>
      <c r="E117" s="113"/>
      <c r="F117" s="114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V117" s="112"/>
      <c r="Z117" s="112"/>
      <c r="AA117" s="112"/>
      <c r="AB117" s="112"/>
      <c r="AC117" s="112"/>
      <c r="AD117" s="112"/>
    </row>
    <row r="118" ht="15.75" customHeight="1">
      <c r="A118" s="109"/>
      <c r="B118" s="110"/>
      <c r="E118" s="113"/>
      <c r="F118" s="114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V118" s="112"/>
      <c r="Z118" s="112"/>
      <c r="AA118" s="112"/>
      <c r="AB118" s="112"/>
      <c r="AC118" s="112"/>
      <c r="AD118" s="112"/>
    </row>
    <row r="119" ht="15.75" customHeight="1">
      <c r="A119" s="109"/>
      <c r="B119" s="110"/>
      <c r="E119" s="113"/>
      <c r="F119" s="114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V119" s="112"/>
      <c r="Z119" s="112"/>
      <c r="AA119" s="112"/>
      <c r="AB119" s="112"/>
      <c r="AC119" s="112"/>
      <c r="AD119" s="112"/>
    </row>
    <row r="120" ht="15.75" customHeight="1">
      <c r="A120" s="109"/>
      <c r="B120" s="110"/>
      <c r="E120" s="113"/>
      <c r="F120" s="114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V120" s="112"/>
      <c r="Z120" s="112"/>
      <c r="AA120" s="112"/>
      <c r="AB120" s="112"/>
      <c r="AC120" s="112"/>
      <c r="AD120" s="112"/>
    </row>
    <row r="121" ht="15.75" customHeight="1">
      <c r="A121" s="109"/>
      <c r="B121" s="110"/>
      <c r="E121" s="113"/>
      <c r="F121" s="114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V121" s="112"/>
      <c r="Z121" s="112"/>
      <c r="AA121" s="112"/>
      <c r="AB121" s="112"/>
      <c r="AC121" s="112"/>
      <c r="AD121" s="112"/>
    </row>
    <row r="122" ht="15.75" customHeight="1">
      <c r="A122" s="109"/>
      <c r="B122" s="110"/>
      <c r="E122" s="113"/>
      <c r="F122" s="114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V122" s="112"/>
      <c r="Z122" s="112"/>
      <c r="AA122" s="112"/>
      <c r="AB122" s="112"/>
      <c r="AC122" s="112"/>
      <c r="AD122" s="112"/>
    </row>
    <row r="123" ht="15.75" customHeight="1">
      <c r="A123" s="109"/>
      <c r="B123" s="110"/>
      <c r="E123" s="113"/>
      <c r="F123" s="114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V123" s="112"/>
      <c r="Z123" s="112"/>
      <c r="AA123" s="112"/>
      <c r="AB123" s="112"/>
      <c r="AC123" s="112"/>
      <c r="AD123" s="112"/>
    </row>
    <row r="124" ht="15.75" customHeight="1">
      <c r="A124" s="109"/>
      <c r="B124" s="110"/>
      <c r="E124" s="113"/>
      <c r="F124" s="114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V124" s="112"/>
      <c r="Z124" s="112"/>
      <c r="AA124" s="112"/>
      <c r="AB124" s="112"/>
      <c r="AC124" s="112"/>
      <c r="AD124" s="112"/>
    </row>
    <row r="125" ht="15.75" customHeight="1">
      <c r="A125" s="109"/>
      <c r="B125" s="110"/>
      <c r="E125" s="113"/>
      <c r="F125" s="114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V125" s="112"/>
      <c r="Z125" s="112"/>
      <c r="AA125" s="112"/>
      <c r="AB125" s="112"/>
      <c r="AC125" s="112"/>
      <c r="AD125" s="112"/>
    </row>
    <row r="126" ht="15.75" customHeight="1">
      <c r="A126" s="109"/>
      <c r="B126" s="110"/>
      <c r="E126" s="113"/>
      <c r="F126" s="114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V126" s="112"/>
      <c r="Z126" s="112"/>
      <c r="AA126" s="112"/>
      <c r="AB126" s="112"/>
      <c r="AC126" s="112"/>
      <c r="AD126" s="112"/>
    </row>
    <row r="127" ht="15.75" customHeight="1">
      <c r="A127" s="109"/>
      <c r="B127" s="110"/>
      <c r="E127" s="113"/>
      <c r="F127" s="114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V127" s="112"/>
      <c r="Z127" s="112"/>
      <c r="AA127" s="112"/>
      <c r="AB127" s="112"/>
      <c r="AC127" s="112"/>
      <c r="AD127" s="112"/>
    </row>
    <row r="128" ht="15.75" customHeight="1">
      <c r="A128" s="109"/>
      <c r="B128" s="110"/>
      <c r="E128" s="113"/>
      <c r="F128" s="114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V128" s="112"/>
      <c r="Z128" s="112"/>
      <c r="AA128" s="112"/>
      <c r="AB128" s="112"/>
      <c r="AC128" s="112"/>
      <c r="AD128" s="112"/>
    </row>
    <row r="129" ht="15.75" customHeight="1">
      <c r="A129" s="109"/>
      <c r="B129" s="110"/>
      <c r="E129" s="113"/>
      <c r="F129" s="114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V129" s="112"/>
      <c r="Z129" s="112"/>
      <c r="AA129" s="112"/>
      <c r="AB129" s="112"/>
      <c r="AC129" s="112"/>
      <c r="AD129" s="112"/>
    </row>
    <row r="130" ht="15.75" customHeight="1">
      <c r="A130" s="109"/>
      <c r="B130" s="110"/>
      <c r="E130" s="113"/>
      <c r="F130" s="114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V130" s="112"/>
      <c r="Z130" s="112"/>
      <c r="AA130" s="112"/>
      <c r="AB130" s="112"/>
      <c r="AC130" s="112"/>
      <c r="AD130" s="112"/>
    </row>
    <row r="131" ht="15.75" customHeight="1">
      <c r="A131" s="109"/>
      <c r="B131" s="110"/>
      <c r="E131" s="113"/>
      <c r="F131" s="114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V131" s="112"/>
      <c r="Z131" s="112"/>
      <c r="AA131" s="112"/>
      <c r="AB131" s="112"/>
      <c r="AC131" s="112"/>
      <c r="AD131" s="112"/>
    </row>
    <row r="132" ht="15.75" customHeight="1">
      <c r="A132" s="109"/>
      <c r="B132" s="110"/>
      <c r="E132" s="113"/>
      <c r="F132" s="114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V132" s="112"/>
      <c r="Z132" s="112"/>
      <c r="AA132" s="112"/>
      <c r="AB132" s="112"/>
      <c r="AC132" s="112"/>
      <c r="AD132" s="112"/>
    </row>
    <row r="133" ht="15.75" customHeight="1">
      <c r="A133" s="109"/>
      <c r="B133" s="110"/>
      <c r="E133" s="113"/>
      <c r="F133" s="114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V133" s="112"/>
      <c r="Z133" s="112"/>
      <c r="AA133" s="112"/>
      <c r="AB133" s="112"/>
      <c r="AC133" s="112"/>
      <c r="AD133" s="112"/>
    </row>
    <row r="134" ht="15.75" customHeight="1">
      <c r="A134" s="109"/>
      <c r="B134" s="110"/>
      <c r="E134" s="113"/>
      <c r="F134" s="114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V134" s="112"/>
      <c r="Z134" s="112"/>
      <c r="AA134" s="112"/>
      <c r="AB134" s="112"/>
      <c r="AC134" s="112"/>
      <c r="AD134" s="112"/>
    </row>
    <row r="135" ht="15.75" customHeight="1">
      <c r="A135" s="109"/>
      <c r="B135" s="110"/>
      <c r="E135" s="113"/>
      <c r="F135" s="114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V135" s="112"/>
      <c r="Z135" s="112"/>
      <c r="AA135" s="112"/>
      <c r="AB135" s="112"/>
      <c r="AC135" s="112"/>
      <c r="AD135" s="112"/>
    </row>
    <row r="136" ht="15.75" customHeight="1">
      <c r="A136" s="109"/>
      <c r="B136" s="110"/>
      <c r="E136" s="113"/>
      <c r="F136" s="114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V136" s="112"/>
      <c r="Z136" s="112"/>
      <c r="AA136" s="112"/>
      <c r="AB136" s="112"/>
      <c r="AC136" s="112"/>
      <c r="AD136" s="112"/>
    </row>
    <row r="137" ht="15.75" customHeight="1">
      <c r="A137" s="109"/>
      <c r="B137" s="110"/>
      <c r="E137" s="113"/>
      <c r="F137" s="114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V137" s="112"/>
      <c r="Z137" s="112"/>
      <c r="AA137" s="112"/>
      <c r="AB137" s="112"/>
      <c r="AC137" s="112"/>
      <c r="AD137" s="112"/>
    </row>
    <row r="138" ht="15.75" customHeight="1">
      <c r="A138" s="109"/>
      <c r="B138" s="110"/>
      <c r="E138" s="113"/>
      <c r="F138" s="114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V138" s="112"/>
      <c r="Z138" s="112"/>
      <c r="AA138" s="112"/>
      <c r="AB138" s="112"/>
      <c r="AC138" s="112"/>
      <c r="AD138" s="112"/>
    </row>
    <row r="139" ht="15.75" customHeight="1">
      <c r="A139" s="109"/>
      <c r="B139" s="110"/>
      <c r="E139" s="113"/>
      <c r="F139" s="114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V139" s="112"/>
      <c r="Z139" s="112"/>
      <c r="AA139" s="112"/>
      <c r="AB139" s="112"/>
      <c r="AC139" s="112"/>
      <c r="AD139" s="112"/>
    </row>
    <row r="140" ht="15.75" customHeight="1">
      <c r="A140" s="109"/>
      <c r="B140" s="110"/>
      <c r="E140" s="113"/>
      <c r="F140" s="114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V140" s="112"/>
      <c r="Z140" s="112"/>
      <c r="AA140" s="112"/>
      <c r="AB140" s="112"/>
      <c r="AC140" s="112"/>
      <c r="AD140" s="112"/>
    </row>
    <row r="141" ht="15.75" customHeight="1">
      <c r="A141" s="109"/>
      <c r="B141" s="110"/>
      <c r="E141" s="113"/>
      <c r="F141" s="114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V141" s="112"/>
      <c r="Z141" s="112"/>
      <c r="AA141" s="112"/>
      <c r="AB141" s="112"/>
      <c r="AC141" s="112"/>
      <c r="AD141" s="112"/>
    </row>
    <row r="142" ht="15.75" customHeight="1">
      <c r="A142" s="109"/>
      <c r="B142" s="110"/>
      <c r="E142" s="113"/>
      <c r="F142" s="114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V142" s="112"/>
      <c r="Z142" s="112"/>
      <c r="AA142" s="112"/>
      <c r="AB142" s="112"/>
      <c r="AC142" s="112"/>
      <c r="AD142" s="112"/>
    </row>
    <row r="143" ht="15.75" customHeight="1">
      <c r="A143" s="109"/>
      <c r="B143" s="110"/>
      <c r="E143" s="113"/>
      <c r="F143" s="114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V143" s="112"/>
      <c r="Z143" s="112"/>
      <c r="AA143" s="112"/>
      <c r="AB143" s="112"/>
      <c r="AC143" s="112"/>
      <c r="AD143" s="112"/>
    </row>
    <row r="144" ht="15.75" customHeight="1">
      <c r="A144" s="109"/>
      <c r="B144" s="110"/>
      <c r="E144" s="113"/>
      <c r="F144" s="114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V144" s="112"/>
      <c r="Z144" s="112"/>
      <c r="AA144" s="112"/>
      <c r="AB144" s="112"/>
      <c r="AC144" s="112"/>
      <c r="AD144" s="112"/>
    </row>
    <row r="145" ht="15.75" customHeight="1">
      <c r="F145" s="115"/>
      <c r="G145" s="112"/>
      <c r="H145" s="112"/>
      <c r="I145" s="112"/>
      <c r="N145" s="112"/>
      <c r="R145" s="112"/>
      <c r="V145" s="112"/>
      <c r="Z145" s="112"/>
      <c r="AA145" s="112"/>
      <c r="AB145" s="112"/>
      <c r="AC145" s="112"/>
      <c r="AD145" s="112"/>
    </row>
    <row r="146" ht="15.75" customHeight="1">
      <c r="F146" s="115"/>
      <c r="G146" s="112"/>
      <c r="H146" s="112"/>
      <c r="I146" s="112"/>
      <c r="N146" s="112"/>
      <c r="R146" s="112"/>
      <c r="V146" s="112"/>
      <c r="Z146" s="112"/>
      <c r="AA146" s="112"/>
      <c r="AB146" s="112"/>
      <c r="AC146" s="112"/>
      <c r="AD146" s="112"/>
    </row>
    <row r="147" ht="15.75" customHeight="1">
      <c r="F147" s="115"/>
      <c r="G147" s="112"/>
      <c r="H147" s="112"/>
      <c r="I147" s="112"/>
      <c r="N147" s="112"/>
      <c r="R147" s="112"/>
      <c r="V147" s="112"/>
      <c r="Z147" s="112"/>
      <c r="AA147" s="112"/>
      <c r="AB147" s="112"/>
      <c r="AC147" s="112"/>
      <c r="AD147" s="112"/>
    </row>
    <row r="148" ht="15.75" customHeight="1">
      <c r="F148" s="115"/>
      <c r="G148" s="112"/>
      <c r="H148" s="112"/>
      <c r="I148" s="112"/>
      <c r="N148" s="112"/>
      <c r="R148" s="112"/>
      <c r="V148" s="112"/>
      <c r="Z148" s="112"/>
      <c r="AA148" s="112"/>
      <c r="AB148" s="112"/>
      <c r="AC148" s="112"/>
      <c r="AD148" s="112"/>
    </row>
    <row r="149" ht="15.75" customHeight="1">
      <c r="F149" s="115"/>
      <c r="G149" s="112"/>
      <c r="H149" s="112"/>
      <c r="I149" s="112"/>
      <c r="N149" s="112"/>
      <c r="R149" s="112"/>
      <c r="V149" s="112"/>
      <c r="Z149" s="112"/>
      <c r="AA149" s="112"/>
      <c r="AB149" s="112"/>
      <c r="AC149" s="112"/>
      <c r="AD149" s="112"/>
    </row>
    <row r="150" ht="15.75" customHeight="1">
      <c r="F150" s="115"/>
      <c r="G150" s="112"/>
      <c r="H150" s="112"/>
      <c r="I150" s="112"/>
      <c r="N150" s="112"/>
      <c r="R150" s="112"/>
      <c r="V150" s="112"/>
      <c r="Z150" s="112"/>
      <c r="AA150" s="112"/>
      <c r="AB150" s="112"/>
      <c r="AC150" s="112"/>
      <c r="AD150" s="112"/>
    </row>
    <row r="151" ht="15.75" customHeight="1">
      <c r="F151" s="115"/>
      <c r="G151" s="112"/>
      <c r="H151" s="112"/>
      <c r="I151" s="112"/>
      <c r="N151" s="112"/>
      <c r="R151" s="112"/>
      <c r="V151" s="112"/>
      <c r="Z151" s="112"/>
      <c r="AA151" s="112"/>
      <c r="AB151" s="112"/>
      <c r="AC151" s="112"/>
      <c r="AD151" s="112"/>
    </row>
    <row r="152" ht="15.75" customHeight="1">
      <c r="F152" s="115"/>
      <c r="G152" s="112"/>
      <c r="H152" s="112"/>
      <c r="I152" s="112"/>
      <c r="N152" s="112"/>
      <c r="R152" s="112"/>
      <c r="V152" s="112"/>
      <c r="Z152" s="112"/>
      <c r="AA152" s="112"/>
      <c r="AB152" s="112"/>
      <c r="AC152" s="112"/>
      <c r="AD152" s="112"/>
    </row>
    <row r="153" ht="15.75" customHeight="1">
      <c r="F153" s="115"/>
      <c r="G153" s="112"/>
      <c r="H153" s="112"/>
      <c r="I153" s="112"/>
      <c r="N153" s="112"/>
      <c r="R153" s="112"/>
      <c r="V153" s="112"/>
      <c r="Z153" s="112"/>
      <c r="AA153" s="112"/>
      <c r="AB153" s="112"/>
      <c r="AC153" s="112"/>
      <c r="AD153" s="112"/>
    </row>
    <row r="154" ht="15.75" customHeight="1">
      <c r="F154" s="115"/>
      <c r="G154" s="112"/>
      <c r="H154" s="112"/>
      <c r="I154" s="112"/>
      <c r="N154" s="112"/>
      <c r="R154" s="112"/>
      <c r="V154" s="112"/>
      <c r="Z154" s="112"/>
      <c r="AA154" s="112"/>
      <c r="AB154" s="112"/>
      <c r="AC154" s="112"/>
      <c r="AD154" s="112"/>
    </row>
    <row r="155" ht="15.75" customHeight="1">
      <c r="F155" s="115"/>
      <c r="G155" s="112"/>
      <c r="H155" s="112"/>
      <c r="I155" s="112"/>
      <c r="N155" s="112"/>
      <c r="R155" s="112"/>
      <c r="V155" s="112"/>
      <c r="Z155" s="112"/>
      <c r="AA155" s="112"/>
      <c r="AB155" s="112"/>
      <c r="AC155" s="112"/>
      <c r="AD155" s="112"/>
    </row>
    <row r="156" ht="15.75" customHeight="1">
      <c r="F156" s="115"/>
      <c r="G156" s="112"/>
      <c r="H156" s="112"/>
      <c r="I156" s="112"/>
      <c r="N156" s="112"/>
      <c r="R156" s="112"/>
      <c r="V156" s="112"/>
      <c r="Z156" s="112"/>
      <c r="AA156" s="112"/>
      <c r="AB156" s="112"/>
      <c r="AC156" s="112"/>
      <c r="AD156" s="112"/>
    </row>
    <row r="157" ht="15.75" customHeight="1">
      <c r="F157" s="115"/>
      <c r="G157" s="112"/>
      <c r="H157" s="112"/>
      <c r="I157" s="112"/>
      <c r="N157" s="112"/>
      <c r="R157" s="112"/>
      <c r="V157" s="112"/>
      <c r="Z157" s="112"/>
      <c r="AA157" s="112"/>
      <c r="AB157" s="112"/>
      <c r="AC157" s="112"/>
      <c r="AD157" s="112"/>
    </row>
    <row r="158" ht="15.75" customHeight="1">
      <c r="F158" s="115"/>
      <c r="G158" s="112"/>
      <c r="H158" s="112"/>
      <c r="I158" s="112"/>
      <c r="N158" s="112"/>
      <c r="R158" s="112"/>
      <c r="V158" s="112"/>
      <c r="Z158" s="112"/>
      <c r="AA158" s="112"/>
      <c r="AB158" s="112"/>
      <c r="AC158" s="112"/>
      <c r="AD158" s="112"/>
    </row>
    <row r="159" ht="15.75" customHeight="1">
      <c r="F159" s="115"/>
      <c r="G159" s="112"/>
      <c r="H159" s="112"/>
      <c r="I159" s="112"/>
      <c r="N159" s="112"/>
      <c r="R159" s="112"/>
      <c r="V159" s="112"/>
      <c r="Z159" s="112"/>
      <c r="AA159" s="112"/>
      <c r="AB159" s="112"/>
      <c r="AC159" s="112"/>
      <c r="AD159" s="112"/>
    </row>
    <row r="160" ht="15.75" customHeight="1">
      <c r="F160" s="115"/>
      <c r="G160" s="112"/>
      <c r="H160" s="112"/>
      <c r="I160" s="112"/>
      <c r="N160" s="112"/>
      <c r="R160" s="112"/>
      <c r="V160" s="112"/>
      <c r="Z160" s="112"/>
      <c r="AA160" s="112"/>
      <c r="AB160" s="112"/>
      <c r="AC160" s="112"/>
      <c r="AD160" s="112"/>
    </row>
    <row r="161" ht="15.75" customHeight="1">
      <c r="F161" s="115"/>
      <c r="G161" s="112"/>
      <c r="H161" s="112"/>
      <c r="I161" s="112"/>
      <c r="N161" s="112"/>
      <c r="R161" s="112"/>
      <c r="V161" s="112"/>
      <c r="Z161" s="112"/>
      <c r="AA161" s="112"/>
      <c r="AB161" s="112"/>
      <c r="AC161" s="112"/>
      <c r="AD161" s="112"/>
    </row>
    <row r="162" ht="15.75" customHeight="1">
      <c r="F162" s="115"/>
      <c r="G162" s="112"/>
      <c r="H162" s="112"/>
      <c r="I162" s="112"/>
      <c r="N162" s="112"/>
      <c r="R162" s="112"/>
      <c r="V162" s="112"/>
      <c r="Z162" s="112"/>
      <c r="AA162" s="112"/>
      <c r="AB162" s="112"/>
      <c r="AC162" s="112"/>
      <c r="AD162" s="112"/>
    </row>
    <row r="163" ht="15.75" customHeight="1">
      <c r="F163" s="115"/>
      <c r="G163" s="112"/>
      <c r="H163" s="112"/>
      <c r="I163" s="112"/>
      <c r="N163" s="112"/>
      <c r="R163" s="112"/>
      <c r="V163" s="112"/>
      <c r="Z163" s="112"/>
      <c r="AA163" s="112"/>
      <c r="AB163" s="112"/>
      <c r="AC163" s="112"/>
      <c r="AD163" s="112"/>
    </row>
    <row r="164" ht="15.75" customHeight="1">
      <c r="F164" s="115"/>
      <c r="G164" s="112"/>
      <c r="H164" s="112"/>
      <c r="I164" s="112"/>
      <c r="N164" s="112"/>
      <c r="R164" s="112"/>
      <c r="V164" s="112"/>
      <c r="Z164" s="112"/>
      <c r="AA164" s="112"/>
      <c r="AB164" s="112"/>
      <c r="AC164" s="112"/>
      <c r="AD164" s="112"/>
    </row>
    <row r="165" ht="15.75" customHeight="1">
      <c r="F165" s="115"/>
      <c r="G165" s="112"/>
      <c r="H165" s="112"/>
      <c r="I165" s="112"/>
      <c r="N165" s="112"/>
      <c r="R165" s="112"/>
      <c r="V165" s="112"/>
      <c r="Z165" s="112"/>
      <c r="AA165" s="112"/>
      <c r="AB165" s="112"/>
      <c r="AC165" s="112"/>
      <c r="AD165" s="112"/>
    </row>
    <row r="166" ht="15.75" customHeight="1">
      <c r="F166" s="115"/>
      <c r="G166" s="112"/>
      <c r="H166" s="112"/>
      <c r="I166" s="112"/>
      <c r="N166" s="112"/>
      <c r="R166" s="112"/>
      <c r="V166" s="112"/>
      <c r="Z166" s="112"/>
      <c r="AA166" s="112"/>
      <c r="AB166" s="112"/>
      <c r="AC166" s="112"/>
      <c r="AD166" s="112"/>
    </row>
    <row r="167" ht="15.75" customHeight="1">
      <c r="F167" s="115"/>
      <c r="G167" s="112"/>
      <c r="H167" s="112"/>
      <c r="I167" s="112"/>
      <c r="N167" s="112"/>
      <c r="R167" s="112"/>
      <c r="V167" s="112"/>
      <c r="Z167" s="112"/>
      <c r="AA167" s="112"/>
      <c r="AB167" s="112"/>
      <c r="AC167" s="112"/>
      <c r="AD167" s="112"/>
    </row>
    <row r="168" ht="15.75" customHeight="1">
      <c r="F168" s="115"/>
      <c r="G168" s="112"/>
      <c r="H168" s="112"/>
      <c r="I168" s="112"/>
      <c r="N168" s="112"/>
      <c r="R168" s="112"/>
      <c r="V168" s="112"/>
      <c r="Z168" s="112"/>
      <c r="AA168" s="112"/>
      <c r="AB168" s="112"/>
      <c r="AC168" s="112"/>
      <c r="AD168" s="112"/>
    </row>
    <row r="169" ht="15.75" customHeight="1">
      <c r="F169" s="115"/>
      <c r="G169" s="112"/>
      <c r="H169" s="112"/>
      <c r="I169" s="112"/>
      <c r="N169" s="112"/>
      <c r="R169" s="112"/>
      <c r="V169" s="112"/>
      <c r="Z169" s="112"/>
      <c r="AA169" s="112"/>
      <c r="AB169" s="112"/>
      <c r="AC169" s="112"/>
      <c r="AD169" s="112"/>
    </row>
    <row r="170" ht="15.75" customHeight="1">
      <c r="F170" s="115"/>
      <c r="G170" s="112"/>
      <c r="H170" s="112"/>
      <c r="I170" s="112"/>
      <c r="N170" s="112"/>
      <c r="R170" s="112"/>
      <c r="V170" s="112"/>
      <c r="Z170" s="112"/>
      <c r="AA170" s="112"/>
      <c r="AB170" s="112"/>
      <c r="AC170" s="112"/>
      <c r="AD170" s="112"/>
    </row>
    <row r="171" ht="15.75" customHeight="1">
      <c r="F171" s="115"/>
      <c r="G171" s="112"/>
      <c r="H171" s="112"/>
      <c r="I171" s="112"/>
      <c r="N171" s="112"/>
      <c r="R171" s="112"/>
      <c r="V171" s="112"/>
      <c r="Z171" s="112"/>
      <c r="AA171" s="112"/>
      <c r="AB171" s="112"/>
      <c r="AC171" s="112"/>
      <c r="AD171" s="112"/>
    </row>
    <row r="172" ht="15.75" customHeight="1">
      <c r="F172" s="115"/>
      <c r="G172" s="112"/>
      <c r="H172" s="112"/>
      <c r="I172" s="112"/>
      <c r="N172" s="112"/>
      <c r="R172" s="112"/>
      <c r="V172" s="112"/>
      <c r="Z172" s="112"/>
      <c r="AA172" s="112"/>
      <c r="AB172" s="112"/>
      <c r="AC172" s="112"/>
      <c r="AD172" s="112"/>
    </row>
    <row r="173" ht="15.75" customHeight="1">
      <c r="F173" s="115"/>
      <c r="G173" s="112"/>
      <c r="H173" s="112"/>
      <c r="I173" s="112"/>
      <c r="N173" s="112"/>
      <c r="R173" s="112"/>
      <c r="V173" s="112"/>
      <c r="Z173" s="112"/>
      <c r="AA173" s="112"/>
      <c r="AB173" s="112"/>
      <c r="AC173" s="112"/>
      <c r="AD173" s="112"/>
    </row>
    <row r="174" ht="15.75" customHeight="1">
      <c r="F174" s="115"/>
      <c r="G174" s="112"/>
      <c r="H174" s="112"/>
      <c r="I174" s="112"/>
      <c r="N174" s="112"/>
      <c r="R174" s="112"/>
      <c r="V174" s="112"/>
      <c r="Z174" s="112"/>
      <c r="AA174" s="112"/>
      <c r="AB174" s="112"/>
      <c r="AC174" s="112"/>
      <c r="AD174" s="112"/>
    </row>
    <row r="175" ht="15.75" customHeight="1">
      <c r="F175" s="115"/>
      <c r="G175" s="112"/>
      <c r="H175" s="112"/>
      <c r="I175" s="112"/>
      <c r="N175" s="112"/>
      <c r="R175" s="112"/>
      <c r="V175" s="112"/>
      <c r="Z175" s="112"/>
      <c r="AA175" s="112"/>
      <c r="AB175" s="112"/>
      <c r="AC175" s="112"/>
      <c r="AD175" s="112"/>
    </row>
    <row r="176" ht="15.75" customHeight="1">
      <c r="F176" s="115"/>
      <c r="G176" s="112"/>
      <c r="H176" s="112"/>
      <c r="I176" s="112"/>
      <c r="N176" s="112"/>
      <c r="R176" s="112"/>
      <c r="V176" s="112"/>
      <c r="Z176" s="112"/>
      <c r="AA176" s="112"/>
      <c r="AB176" s="112"/>
      <c r="AC176" s="112"/>
      <c r="AD176" s="112"/>
    </row>
    <row r="177" ht="15.75" customHeight="1">
      <c r="F177" s="115"/>
      <c r="G177" s="112"/>
      <c r="H177" s="112"/>
      <c r="I177" s="112"/>
      <c r="N177" s="112"/>
      <c r="R177" s="112"/>
      <c r="V177" s="112"/>
      <c r="Z177" s="112"/>
      <c r="AA177" s="112"/>
      <c r="AB177" s="112"/>
      <c r="AC177" s="112"/>
      <c r="AD177" s="112"/>
    </row>
    <row r="178" ht="15.75" customHeight="1">
      <c r="F178" s="115"/>
      <c r="G178" s="112"/>
      <c r="H178" s="112"/>
      <c r="I178" s="112"/>
      <c r="N178" s="112"/>
      <c r="R178" s="112"/>
      <c r="V178" s="112"/>
      <c r="Z178" s="112"/>
      <c r="AA178" s="112"/>
      <c r="AB178" s="112"/>
      <c r="AC178" s="112"/>
      <c r="AD178" s="112"/>
    </row>
    <row r="179" ht="15.75" customHeight="1">
      <c r="F179" s="115"/>
      <c r="G179" s="112"/>
      <c r="H179" s="112"/>
      <c r="I179" s="112"/>
      <c r="N179" s="112"/>
      <c r="R179" s="112"/>
      <c r="V179" s="112"/>
      <c r="Z179" s="112"/>
      <c r="AA179" s="112"/>
      <c r="AB179" s="112"/>
      <c r="AC179" s="112"/>
      <c r="AD179" s="112"/>
    </row>
    <row r="180" ht="15.75" customHeight="1">
      <c r="F180" s="115"/>
      <c r="G180" s="112"/>
      <c r="H180" s="112"/>
      <c r="I180" s="112"/>
      <c r="N180" s="112"/>
      <c r="R180" s="112"/>
      <c r="V180" s="112"/>
      <c r="Z180" s="112"/>
      <c r="AA180" s="112"/>
      <c r="AB180" s="112"/>
      <c r="AC180" s="112"/>
      <c r="AD180" s="112"/>
    </row>
    <row r="181" ht="15.75" customHeight="1">
      <c r="F181" s="115"/>
      <c r="G181" s="112"/>
      <c r="H181" s="112"/>
      <c r="I181" s="112"/>
      <c r="N181" s="112"/>
      <c r="R181" s="112"/>
      <c r="V181" s="112"/>
      <c r="Z181" s="112"/>
      <c r="AA181" s="112"/>
      <c r="AB181" s="112"/>
      <c r="AC181" s="112"/>
      <c r="AD181" s="112"/>
    </row>
    <row r="182" ht="15.75" customHeight="1">
      <c r="F182" s="115"/>
      <c r="G182" s="112"/>
      <c r="H182" s="112"/>
      <c r="I182" s="112"/>
      <c r="N182" s="112"/>
      <c r="R182" s="112"/>
      <c r="V182" s="112"/>
      <c r="Z182" s="112"/>
      <c r="AA182" s="112"/>
      <c r="AB182" s="112"/>
      <c r="AC182" s="112"/>
      <c r="AD182" s="112"/>
    </row>
    <row r="183" ht="15.75" customHeight="1">
      <c r="F183" s="115"/>
      <c r="G183" s="112"/>
      <c r="H183" s="112"/>
      <c r="I183" s="112"/>
      <c r="N183" s="112"/>
      <c r="R183" s="112"/>
      <c r="V183" s="112"/>
      <c r="Z183" s="112"/>
      <c r="AA183" s="112"/>
      <c r="AB183" s="112"/>
      <c r="AC183" s="112"/>
      <c r="AD183" s="112"/>
    </row>
    <row r="184" ht="15.75" customHeight="1">
      <c r="F184" s="115"/>
      <c r="G184" s="112"/>
      <c r="H184" s="112"/>
      <c r="I184" s="112"/>
      <c r="N184" s="112"/>
      <c r="R184" s="112"/>
      <c r="V184" s="112"/>
      <c r="Z184" s="112"/>
      <c r="AA184" s="112"/>
      <c r="AB184" s="112"/>
      <c r="AC184" s="112"/>
      <c r="AD184" s="112"/>
    </row>
    <row r="185" ht="15.75" customHeight="1">
      <c r="F185" s="115"/>
      <c r="G185" s="112"/>
      <c r="H185" s="112"/>
      <c r="I185" s="112"/>
      <c r="N185" s="112"/>
      <c r="R185" s="112"/>
      <c r="V185" s="112"/>
      <c r="Z185" s="112"/>
      <c r="AA185" s="112"/>
      <c r="AB185" s="112"/>
      <c r="AC185" s="112"/>
      <c r="AD185" s="112"/>
    </row>
    <row r="186" ht="15.75" customHeight="1">
      <c r="F186" s="115"/>
      <c r="G186" s="112"/>
      <c r="H186" s="112"/>
      <c r="I186" s="112"/>
      <c r="N186" s="112"/>
      <c r="R186" s="112"/>
      <c r="V186" s="112"/>
      <c r="Z186" s="112"/>
      <c r="AA186" s="112"/>
      <c r="AB186" s="112"/>
      <c r="AC186" s="112"/>
      <c r="AD186" s="112"/>
    </row>
    <row r="187" ht="15.75" customHeight="1">
      <c r="F187" s="115"/>
      <c r="G187" s="112"/>
      <c r="H187" s="112"/>
      <c r="I187" s="112"/>
      <c r="N187" s="112"/>
      <c r="R187" s="112"/>
      <c r="V187" s="112"/>
      <c r="Z187" s="112"/>
      <c r="AA187" s="112"/>
      <c r="AB187" s="112"/>
      <c r="AC187" s="112"/>
      <c r="AD187" s="112"/>
    </row>
    <row r="188" ht="15.75" customHeight="1">
      <c r="F188" s="115"/>
      <c r="G188" s="112"/>
      <c r="H188" s="112"/>
      <c r="I188" s="112"/>
      <c r="N188" s="112"/>
      <c r="R188" s="112"/>
      <c r="V188" s="112"/>
      <c r="Z188" s="112"/>
      <c r="AA188" s="112"/>
      <c r="AB188" s="112"/>
      <c r="AC188" s="112"/>
      <c r="AD188" s="112"/>
    </row>
    <row r="189" ht="15.75" customHeight="1">
      <c r="F189" s="115"/>
      <c r="G189" s="112"/>
      <c r="H189" s="112"/>
      <c r="I189" s="112"/>
      <c r="N189" s="112"/>
      <c r="R189" s="112"/>
      <c r="V189" s="112"/>
      <c r="Z189" s="112"/>
      <c r="AA189" s="112"/>
      <c r="AB189" s="112"/>
      <c r="AC189" s="112"/>
      <c r="AD189" s="112"/>
    </row>
    <row r="190" ht="15.75" customHeight="1">
      <c r="F190" s="115"/>
      <c r="G190" s="112"/>
      <c r="H190" s="112"/>
      <c r="I190" s="112"/>
      <c r="N190" s="112"/>
      <c r="R190" s="112"/>
      <c r="V190" s="112"/>
      <c r="Z190" s="112"/>
      <c r="AA190" s="112"/>
      <c r="AB190" s="112"/>
      <c r="AC190" s="112"/>
      <c r="AD190" s="112"/>
    </row>
    <row r="191" ht="15.75" customHeight="1">
      <c r="F191" s="115"/>
      <c r="G191" s="112"/>
      <c r="H191" s="112"/>
      <c r="I191" s="112"/>
      <c r="N191" s="112"/>
      <c r="R191" s="112"/>
      <c r="V191" s="112"/>
      <c r="Z191" s="112"/>
      <c r="AA191" s="112"/>
      <c r="AB191" s="112"/>
      <c r="AC191" s="112"/>
      <c r="AD191" s="112"/>
    </row>
    <row r="192" ht="15.75" customHeight="1">
      <c r="F192" s="115"/>
      <c r="G192" s="112"/>
      <c r="H192" s="112"/>
      <c r="I192" s="112"/>
      <c r="N192" s="112"/>
      <c r="R192" s="112"/>
      <c r="V192" s="112"/>
      <c r="Z192" s="112"/>
      <c r="AA192" s="112"/>
      <c r="AB192" s="112"/>
      <c r="AC192" s="112"/>
      <c r="AD192" s="112"/>
    </row>
    <row r="193" ht="15.75" customHeight="1">
      <c r="F193" s="115"/>
      <c r="G193" s="112"/>
      <c r="H193" s="112"/>
      <c r="I193" s="112"/>
      <c r="N193" s="112"/>
      <c r="R193" s="112"/>
      <c r="V193" s="112"/>
      <c r="Z193" s="112"/>
      <c r="AA193" s="112"/>
      <c r="AB193" s="112"/>
      <c r="AC193" s="112"/>
      <c r="AD193" s="112"/>
    </row>
    <row r="194" ht="15.75" customHeight="1">
      <c r="F194" s="115"/>
      <c r="G194" s="112"/>
      <c r="H194" s="112"/>
      <c r="I194" s="112"/>
      <c r="N194" s="112"/>
      <c r="R194" s="112"/>
      <c r="V194" s="112"/>
      <c r="Z194" s="112"/>
      <c r="AA194" s="112"/>
      <c r="AB194" s="112"/>
      <c r="AC194" s="112"/>
      <c r="AD194" s="112"/>
    </row>
    <row r="195" ht="15.75" customHeight="1">
      <c r="F195" s="115"/>
      <c r="G195" s="112"/>
      <c r="H195" s="112"/>
      <c r="I195" s="112"/>
      <c r="N195" s="112"/>
      <c r="R195" s="112"/>
      <c r="V195" s="112"/>
      <c r="Z195" s="112"/>
      <c r="AA195" s="112"/>
      <c r="AB195" s="112"/>
      <c r="AC195" s="112"/>
      <c r="AD195" s="112"/>
    </row>
    <row r="196" ht="15.75" customHeight="1">
      <c r="F196" s="115"/>
      <c r="G196" s="112"/>
      <c r="H196" s="112"/>
      <c r="I196" s="112"/>
      <c r="N196" s="112"/>
      <c r="R196" s="112"/>
      <c r="V196" s="112"/>
      <c r="Z196" s="112"/>
      <c r="AA196" s="112"/>
      <c r="AB196" s="112"/>
      <c r="AC196" s="112"/>
      <c r="AD196" s="112"/>
    </row>
    <row r="197" ht="15.75" customHeight="1">
      <c r="F197" s="115"/>
      <c r="G197" s="112"/>
      <c r="H197" s="112"/>
      <c r="I197" s="112"/>
      <c r="N197" s="112"/>
      <c r="R197" s="112"/>
      <c r="V197" s="112"/>
      <c r="Z197" s="112"/>
      <c r="AA197" s="112"/>
      <c r="AB197" s="112"/>
      <c r="AC197" s="112"/>
      <c r="AD197" s="112"/>
    </row>
    <row r="198" ht="15.75" customHeight="1">
      <c r="F198" s="115"/>
      <c r="G198" s="112"/>
      <c r="H198" s="112"/>
      <c r="I198" s="112"/>
      <c r="N198" s="112"/>
      <c r="R198" s="112"/>
      <c r="V198" s="112"/>
      <c r="Z198" s="112"/>
      <c r="AA198" s="112"/>
      <c r="AB198" s="112"/>
      <c r="AC198" s="112"/>
      <c r="AD198" s="112"/>
    </row>
    <row r="199" ht="15.75" customHeight="1">
      <c r="F199" s="115"/>
      <c r="G199" s="112"/>
      <c r="H199" s="112"/>
      <c r="I199" s="112"/>
      <c r="N199" s="112"/>
      <c r="R199" s="112"/>
      <c r="V199" s="112"/>
      <c r="Z199" s="112"/>
      <c r="AA199" s="112"/>
      <c r="AB199" s="112"/>
      <c r="AC199" s="112"/>
      <c r="AD199" s="112"/>
    </row>
    <row r="200" ht="15.75" customHeight="1">
      <c r="F200" s="115"/>
      <c r="G200" s="112"/>
      <c r="H200" s="112"/>
      <c r="I200" s="112"/>
      <c r="N200" s="112"/>
      <c r="R200" s="112"/>
      <c r="V200" s="112"/>
      <c r="Z200" s="112"/>
      <c r="AA200" s="112"/>
      <c r="AB200" s="112"/>
      <c r="AC200" s="112"/>
      <c r="AD200" s="112"/>
    </row>
    <row r="201" ht="15.75" customHeight="1">
      <c r="F201" s="115"/>
      <c r="G201" s="112"/>
      <c r="H201" s="112"/>
      <c r="I201" s="112"/>
      <c r="N201" s="112"/>
      <c r="R201" s="112"/>
      <c r="V201" s="112"/>
      <c r="Z201" s="112"/>
      <c r="AA201" s="112"/>
      <c r="AB201" s="112"/>
      <c r="AC201" s="112"/>
      <c r="AD201" s="112"/>
    </row>
    <row r="202" ht="15.75" customHeight="1">
      <c r="F202" s="115"/>
      <c r="G202" s="112"/>
      <c r="H202" s="112"/>
      <c r="I202" s="112"/>
      <c r="N202" s="112"/>
      <c r="R202" s="112"/>
      <c r="V202" s="112"/>
      <c r="Z202" s="112"/>
      <c r="AA202" s="112"/>
      <c r="AB202" s="112"/>
      <c r="AC202" s="112"/>
      <c r="AD202" s="112"/>
    </row>
    <row r="203" ht="15.75" customHeight="1">
      <c r="F203" s="115"/>
      <c r="G203" s="112"/>
      <c r="H203" s="112"/>
      <c r="I203" s="112"/>
      <c r="N203" s="112"/>
      <c r="R203" s="112"/>
      <c r="V203" s="112"/>
      <c r="Z203" s="112"/>
      <c r="AA203" s="112"/>
      <c r="AB203" s="112"/>
      <c r="AC203" s="112"/>
      <c r="AD203" s="112"/>
    </row>
    <row r="204" ht="15.75" customHeight="1">
      <c r="F204" s="115"/>
      <c r="G204" s="112"/>
      <c r="H204" s="112"/>
      <c r="I204" s="112"/>
      <c r="N204" s="112"/>
      <c r="R204" s="112"/>
      <c r="V204" s="112"/>
      <c r="Z204" s="112"/>
      <c r="AA204" s="112"/>
      <c r="AB204" s="112"/>
      <c r="AC204" s="112"/>
      <c r="AD204" s="112"/>
    </row>
    <row r="205" ht="15.75" customHeight="1">
      <c r="F205" s="115"/>
      <c r="G205" s="112"/>
      <c r="H205" s="112"/>
      <c r="I205" s="112"/>
      <c r="N205" s="112"/>
      <c r="R205" s="112"/>
      <c r="V205" s="112"/>
      <c r="Z205" s="112"/>
      <c r="AA205" s="112"/>
      <c r="AB205" s="112"/>
      <c r="AC205" s="112"/>
      <c r="AD205" s="112"/>
    </row>
    <row r="206" ht="15.75" customHeight="1">
      <c r="F206" s="115"/>
      <c r="G206" s="112"/>
      <c r="H206" s="112"/>
      <c r="I206" s="112"/>
      <c r="N206" s="112"/>
      <c r="R206" s="112"/>
      <c r="V206" s="112"/>
      <c r="Z206" s="112"/>
      <c r="AA206" s="112"/>
      <c r="AB206" s="112"/>
      <c r="AC206" s="112"/>
      <c r="AD206" s="112"/>
    </row>
    <row r="207" ht="15.75" customHeight="1">
      <c r="F207" s="115"/>
      <c r="G207" s="112"/>
      <c r="H207" s="112"/>
      <c r="I207" s="112"/>
      <c r="N207" s="112"/>
      <c r="R207" s="112"/>
      <c r="V207" s="112"/>
      <c r="Z207" s="112"/>
      <c r="AA207" s="112"/>
      <c r="AB207" s="112"/>
      <c r="AC207" s="112"/>
      <c r="AD207" s="112"/>
    </row>
    <row r="208" ht="15.75" customHeight="1">
      <c r="F208" s="115"/>
      <c r="G208" s="112"/>
      <c r="H208" s="112"/>
      <c r="I208" s="112"/>
      <c r="N208" s="112"/>
      <c r="R208" s="112"/>
      <c r="V208" s="112"/>
      <c r="Z208" s="112"/>
      <c r="AA208" s="112"/>
      <c r="AB208" s="112"/>
      <c r="AC208" s="112"/>
      <c r="AD208" s="112"/>
    </row>
    <row r="209" ht="15.75" customHeight="1">
      <c r="F209" s="115"/>
      <c r="G209" s="112"/>
      <c r="H209" s="112"/>
      <c r="I209" s="112"/>
      <c r="N209" s="112"/>
      <c r="R209" s="112"/>
      <c r="V209" s="112"/>
      <c r="Z209" s="112"/>
      <c r="AA209" s="112"/>
      <c r="AB209" s="112"/>
      <c r="AC209" s="112"/>
      <c r="AD209" s="112"/>
    </row>
    <row r="210" ht="15.75" customHeight="1">
      <c r="F210" s="115"/>
      <c r="G210" s="112"/>
      <c r="H210" s="112"/>
      <c r="I210" s="112"/>
      <c r="N210" s="112"/>
      <c r="R210" s="112"/>
      <c r="V210" s="112"/>
      <c r="Z210" s="112"/>
      <c r="AA210" s="112"/>
      <c r="AB210" s="112"/>
      <c r="AC210" s="112"/>
      <c r="AD210" s="112"/>
    </row>
    <row r="211" ht="15.75" customHeight="1">
      <c r="F211" s="115"/>
      <c r="G211" s="112"/>
      <c r="H211" s="112"/>
      <c r="I211" s="112"/>
      <c r="N211" s="112"/>
      <c r="R211" s="112"/>
      <c r="V211" s="112"/>
      <c r="Z211" s="112"/>
      <c r="AA211" s="112"/>
      <c r="AB211" s="112"/>
      <c r="AC211" s="112"/>
      <c r="AD211" s="112"/>
    </row>
    <row r="212" ht="15.75" customHeight="1">
      <c r="F212" s="115"/>
      <c r="G212" s="112"/>
      <c r="H212" s="112"/>
      <c r="I212" s="112"/>
      <c r="N212" s="112"/>
      <c r="R212" s="112"/>
      <c r="V212" s="112"/>
      <c r="Z212" s="112"/>
      <c r="AA212" s="112"/>
      <c r="AB212" s="112"/>
      <c r="AC212" s="112"/>
      <c r="AD212" s="112"/>
    </row>
    <row r="213" ht="15.75" customHeight="1">
      <c r="F213" s="115"/>
      <c r="G213" s="112"/>
      <c r="H213" s="112"/>
      <c r="I213" s="112"/>
      <c r="N213" s="112"/>
      <c r="R213" s="112"/>
      <c r="V213" s="112"/>
      <c r="Z213" s="112"/>
      <c r="AA213" s="112"/>
      <c r="AB213" s="112"/>
      <c r="AC213" s="112"/>
      <c r="AD213" s="112"/>
    </row>
    <row r="214" ht="15.75" customHeight="1">
      <c r="F214" s="115"/>
      <c r="G214" s="112"/>
      <c r="H214" s="112"/>
      <c r="I214" s="112"/>
      <c r="N214" s="112"/>
      <c r="R214" s="112"/>
      <c r="V214" s="112"/>
      <c r="Z214" s="112"/>
      <c r="AA214" s="112"/>
      <c r="AB214" s="112"/>
      <c r="AC214" s="112"/>
      <c r="AD214" s="112"/>
    </row>
    <row r="215" ht="15.75" customHeight="1">
      <c r="F215" s="115"/>
      <c r="G215" s="112"/>
      <c r="H215" s="112"/>
      <c r="I215" s="112"/>
      <c r="N215" s="112"/>
      <c r="R215" s="112"/>
      <c r="V215" s="112"/>
      <c r="Z215" s="112"/>
      <c r="AA215" s="112"/>
      <c r="AB215" s="112"/>
      <c r="AC215" s="112"/>
      <c r="AD215" s="112"/>
    </row>
    <row r="216" ht="15.75" customHeight="1">
      <c r="F216" s="115"/>
      <c r="G216" s="112"/>
      <c r="H216" s="112"/>
      <c r="I216" s="112"/>
      <c r="N216" s="112"/>
      <c r="R216" s="112"/>
      <c r="V216" s="112"/>
      <c r="Z216" s="112"/>
      <c r="AA216" s="112"/>
      <c r="AB216" s="112"/>
      <c r="AC216" s="112"/>
      <c r="AD216" s="112"/>
    </row>
    <row r="217" ht="15.75" customHeight="1">
      <c r="F217" s="115"/>
      <c r="G217" s="112"/>
      <c r="H217" s="112"/>
      <c r="I217" s="112"/>
      <c r="N217" s="112"/>
      <c r="R217" s="112"/>
      <c r="V217" s="112"/>
      <c r="Z217" s="112"/>
      <c r="AA217" s="112"/>
      <c r="AB217" s="112"/>
      <c r="AC217" s="112"/>
      <c r="AD217" s="112"/>
    </row>
    <row r="218" ht="15.75" customHeight="1">
      <c r="F218" s="115"/>
      <c r="G218" s="112"/>
      <c r="H218" s="112"/>
      <c r="I218" s="112"/>
      <c r="N218" s="112"/>
      <c r="R218" s="112"/>
      <c r="V218" s="112"/>
      <c r="Z218" s="112"/>
      <c r="AA218" s="112"/>
      <c r="AB218" s="112"/>
      <c r="AC218" s="112"/>
      <c r="AD218" s="112"/>
    </row>
    <row r="219" ht="15.75" customHeight="1">
      <c r="F219" s="115"/>
      <c r="G219" s="112"/>
      <c r="H219" s="112"/>
      <c r="I219" s="112"/>
      <c r="N219" s="112"/>
      <c r="R219" s="112"/>
      <c r="V219" s="112"/>
      <c r="Z219" s="112"/>
      <c r="AA219" s="112"/>
      <c r="AB219" s="112"/>
      <c r="AC219" s="112"/>
      <c r="AD219" s="112"/>
    </row>
    <row r="220" ht="15.75" customHeight="1">
      <c r="F220" s="115"/>
      <c r="G220" s="112"/>
      <c r="H220" s="112"/>
      <c r="I220" s="112"/>
      <c r="N220" s="112"/>
      <c r="R220" s="112"/>
      <c r="V220" s="112"/>
      <c r="Z220" s="112"/>
      <c r="AA220" s="112"/>
      <c r="AB220" s="112"/>
      <c r="AC220" s="112"/>
      <c r="AD220" s="112"/>
    </row>
    <row r="221" ht="15.75" customHeight="1">
      <c r="F221" s="115"/>
      <c r="G221" s="112"/>
      <c r="H221" s="112"/>
      <c r="I221" s="112"/>
      <c r="N221" s="112"/>
      <c r="R221" s="112"/>
      <c r="V221" s="112"/>
      <c r="Z221" s="112"/>
      <c r="AA221" s="112"/>
      <c r="AB221" s="112"/>
      <c r="AC221" s="112"/>
      <c r="AD221" s="112"/>
    </row>
    <row r="222" ht="15.75" customHeight="1">
      <c r="F222" s="115"/>
      <c r="G222" s="112"/>
      <c r="H222" s="112"/>
      <c r="I222" s="112"/>
      <c r="N222" s="112"/>
      <c r="R222" s="112"/>
      <c r="V222" s="112"/>
      <c r="Z222" s="112"/>
      <c r="AA222" s="112"/>
      <c r="AB222" s="112"/>
      <c r="AC222" s="112"/>
      <c r="AD222" s="112"/>
    </row>
    <row r="223" ht="15.75" customHeight="1">
      <c r="F223" s="115"/>
      <c r="G223" s="112"/>
      <c r="H223" s="112"/>
      <c r="I223" s="112"/>
      <c r="N223" s="112"/>
      <c r="R223" s="112"/>
      <c r="V223" s="112"/>
      <c r="Z223" s="112"/>
      <c r="AA223" s="112"/>
      <c r="AB223" s="112"/>
      <c r="AC223" s="112"/>
      <c r="AD223" s="112"/>
    </row>
    <row r="224" ht="15.75" customHeight="1">
      <c r="F224" s="115"/>
      <c r="G224" s="112"/>
      <c r="H224" s="112"/>
      <c r="I224" s="112"/>
      <c r="N224" s="112"/>
      <c r="R224" s="112"/>
      <c r="V224" s="112"/>
      <c r="Z224" s="112"/>
      <c r="AA224" s="112"/>
      <c r="AB224" s="112"/>
      <c r="AC224" s="112"/>
      <c r="AD224" s="112"/>
    </row>
    <row r="225" ht="15.75" customHeight="1">
      <c r="F225" s="115"/>
      <c r="G225" s="112"/>
      <c r="H225" s="112"/>
      <c r="I225" s="112"/>
      <c r="N225" s="112"/>
      <c r="R225" s="112"/>
      <c r="V225" s="112"/>
      <c r="Z225" s="112"/>
      <c r="AA225" s="112"/>
      <c r="AB225" s="112"/>
      <c r="AC225" s="112"/>
      <c r="AD225" s="112"/>
    </row>
    <row r="226" ht="15.75" customHeight="1">
      <c r="F226" s="115"/>
      <c r="G226" s="112"/>
      <c r="H226" s="112"/>
      <c r="I226" s="112"/>
      <c r="N226" s="112"/>
      <c r="R226" s="112"/>
      <c r="V226" s="112"/>
      <c r="Z226" s="112"/>
      <c r="AA226" s="112"/>
      <c r="AB226" s="112"/>
      <c r="AC226" s="112"/>
      <c r="AD226" s="112"/>
    </row>
    <row r="227" ht="15.75" customHeight="1">
      <c r="F227" s="115"/>
      <c r="G227" s="112"/>
      <c r="H227" s="112"/>
      <c r="I227" s="112"/>
      <c r="N227" s="112"/>
      <c r="R227" s="112"/>
      <c r="V227" s="112"/>
      <c r="Z227" s="112"/>
      <c r="AA227" s="112"/>
      <c r="AB227" s="112"/>
      <c r="AC227" s="112"/>
      <c r="AD227" s="112"/>
    </row>
    <row r="228" ht="15.75" customHeight="1">
      <c r="F228" s="115"/>
      <c r="G228" s="112"/>
      <c r="H228" s="112"/>
      <c r="I228" s="112"/>
      <c r="N228" s="112"/>
      <c r="R228" s="112"/>
      <c r="V228" s="112"/>
      <c r="Z228" s="112"/>
      <c r="AA228" s="112"/>
      <c r="AB228" s="112"/>
      <c r="AC228" s="112"/>
      <c r="AD228" s="112"/>
    </row>
    <row r="229" ht="15.75" customHeight="1">
      <c r="F229" s="115"/>
      <c r="G229" s="112"/>
      <c r="H229" s="112"/>
      <c r="I229" s="112"/>
      <c r="N229" s="112"/>
      <c r="R229" s="112"/>
      <c r="V229" s="112"/>
      <c r="Z229" s="112"/>
      <c r="AA229" s="112"/>
      <c r="AB229" s="112"/>
      <c r="AC229" s="112"/>
      <c r="AD229" s="112"/>
    </row>
    <row r="230" ht="15.75" customHeight="1">
      <c r="F230" s="115"/>
      <c r="G230" s="112"/>
      <c r="H230" s="112"/>
      <c r="I230" s="112"/>
      <c r="N230" s="112"/>
      <c r="R230" s="112"/>
      <c r="V230" s="112"/>
      <c r="Z230" s="112"/>
      <c r="AA230" s="112"/>
      <c r="AB230" s="112"/>
      <c r="AC230" s="112"/>
      <c r="AD230" s="112"/>
    </row>
    <row r="231" ht="15.75" customHeight="1">
      <c r="F231" s="115"/>
      <c r="G231" s="112"/>
      <c r="H231" s="112"/>
      <c r="I231" s="112"/>
      <c r="N231" s="112"/>
      <c r="R231" s="112"/>
      <c r="V231" s="112"/>
      <c r="Z231" s="112"/>
      <c r="AA231" s="112"/>
      <c r="AB231" s="112"/>
      <c r="AC231" s="112"/>
      <c r="AD231" s="112"/>
    </row>
    <row r="232" ht="15.75" customHeight="1">
      <c r="F232" s="115"/>
      <c r="G232" s="112"/>
      <c r="H232" s="112"/>
      <c r="I232" s="112"/>
      <c r="N232" s="112"/>
      <c r="R232" s="112"/>
      <c r="V232" s="112"/>
      <c r="Z232" s="112"/>
      <c r="AA232" s="112"/>
      <c r="AB232" s="112"/>
      <c r="AC232" s="112"/>
      <c r="AD232" s="112"/>
    </row>
    <row r="233" ht="15.75" customHeight="1">
      <c r="F233" s="115"/>
      <c r="G233" s="112"/>
      <c r="H233" s="112"/>
      <c r="I233" s="112"/>
      <c r="N233" s="112"/>
      <c r="R233" s="112"/>
      <c r="V233" s="112"/>
      <c r="Z233" s="112"/>
      <c r="AA233" s="112"/>
      <c r="AB233" s="112"/>
      <c r="AC233" s="112"/>
      <c r="AD233" s="112"/>
    </row>
    <row r="234" ht="15.75" customHeight="1">
      <c r="F234" s="115"/>
      <c r="G234" s="112"/>
      <c r="H234" s="112"/>
      <c r="I234" s="112"/>
      <c r="N234" s="112"/>
      <c r="R234" s="112"/>
      <c r="V234" s="112"/>
      <c r="Z234" s="112"/>
      <c r="AA234" s="112"/>
      <c r="AB234" s="112"/>
      <c r="AC234" s="112"/>
      <c r="AD234" s="112"/>
    </row>
    <row r="235" ht="15.75" customHeight="1">
      <c r="F235" s="115"/>
      <c r="G235" s="112"/>
      <c r="H235" s="112"/>
      <c r="I235" s="112"/>
      <c r="N235" s="112"/>
      <c r="R235" s="112"/>
      <c r="V235" s="112"/>
      <c r="Z235" s="112"/>
      <c r="AA235" s="112"/>
      <c r="AB235" s="112"/>
      <c r="AC235" s="112"/>
      <c r="AD235" s="112"/>
    </row>
    <row r="236" ht="15.75" customHeight="1">
      <c r="F236" s="115"/>
      <c r="G236" s="112"/>
      <c r="H236" s="112"/>
      <c r="I236" s="112"/>
      <c r="N236" s="112"/>
      <c r="R236" s="112"/>
      <c r="V236" s="112"/>
      <c r="Z236" s="112"/>
      <c r="AA236" s="112"/>
      <c r="AB236" s="112"/>
      <c r="AC236" s="112"/>
      <c r="AD236" s="112"/>
    </row>
    <row r="237" ht="15.75" customHeight="1">
      <c r="F237" s="115"/>
      <c r="G237" s="112"/>
      <c r="H237" s="112"/>
      <c r="I237" s="112"/>
      <c r="N237" s="112"/>
      <c r="R237" s="112"/>
      <c r="V237" s="112"/>
      <c r="Z237" s="112"/>
      <c r="AA237" s="112"/>
      <c r="AB237" s="112"/>
      <c r="AC237" s="112"/>
      <c r="AD237" s="112"/>
    </row>
    <row r="238" ht="15.75" customHeight="1">
      <c r="F238" s="115"/>
      <c r="G238" s="112"/>
      <c r="H238" s="112"/>
      <c r="I238" s="112"/>
      <c r="N238" s="112"/>
      <c r="R238" s="112"/>
      <c r="V238" s="112"/>
      <c r="Z238" s="112"/>
      <c r="AA238" s="112"/>
      <c r="AB238" s="112"/>
      <c r="AC238" s="112"/>
      <c r="AD238" s="112"/>
    </row>
    <row r="239" ht="15.75" customHeight="1">
      <c r="F239" s="115"/>
      <c r="G239" s="112"/>
      <c r="H239" s="112"/>
      <c r="I239" s="112"/>
      <c r="N239" s="112"/>
      <c r="R239" s="112"/>
      <c r="V239" s="112"/>
      <c r="Z239" s="112"/>
      <c r="AA239" s="112"/>
      <c r="AB239" s="112"/>
      <c r="AC239" s="112"/>
      <c r="AD239" s="112"/>
    </row>
    <row r="240" ht="15.75" customHeight="1">
      <c r="F240" s="115"/>
      <c r="G240" s="112"/>
      <c r="H240" s="112"/>
      <c r="I240" s="112"/>
      <c r="N240" s="112"/>
      <c r="R240" s="112"/>
      <c r="V240" s="112"/>
      <c r="Z240" s="112"/>
      <c r="AA240" s="112"/>
      <c r="AB240" s="112"/>
      <c r="AC240" s="112"/>
      <c r="AD240" s="112"/>
    </row>
    <row r="241" ht="15.75" customHeight="1">
      <c r="F241" s="115"/>
      <c r="G241" s="112"/>
      <c r="H241" s="112"/>
      <c r="I241" s="112"/>
      <c r="N241" s="112"/>
      <c r="R241" s="112"/>
      <c r="V241" s="112"/>
      <c r="Z241" s="112"/>
      <c r="AA241" s="112"/>
      <c r="AB241" s="112"/>
      <c r="AC241" s="112"/>
      <c r="AD241" s="112"/>
    </row>
    <row r="242" ht="15.75" customHeight="1">
      <c r="F242" s="115"/>
      <c r="G242" s="112"/>
      <c r="H242" s="112"/>
      <c r="I242" s="112"/>
      <c r="N242" s="112"/>
      <c r="R242" s="112"/>
      <c r="V242" s="112"/>
      <c r="Z242" s="112"/>
      <c r="AA242" s="112"/>
      <c r="AB242" s="112"/>
      <c r="AC242" s="112"/>
      <c r="AD242" s="112"/>
    </row>
    <row r="243" ht="15.75" customHeight="1">
      <c r="F243" s="115"/>
      <c r="G243" s="112"/>
      <c r="H243" s="112"/>
      <c r="I243" s="112"/>
      <c r="N243" s="112"/>
      <c r="R243" s="112"/>
      <c r="V243" s="112"/>
      <c r="Z243" s="112"/>
      <c r="AA243" s="112"/>
      <c r="AB243" s="112"/>
      <c r="AC243" s="112"/>
      <c r="AD243" s="112"/>
    </row>
    <row r="244" ht="15.75" customHeight="1">
      <c r="F244" s="115"/>
      <c r="G244" s="112"/>
      <c r="H244" s="112"/>
      <c r="I244" s="112"/>
      <c r="N244" s="112"/>
      <c r="R244" s="112"/>
      <c r="V244" s="112"/>
      <c r="Z244" s="112"/>
      <c r="AA244" s="112"/>
      <c r="AB244" s="112"/>
      <c r="AC244" s="112"/>
      <c r="AD244" s="112"/>
    </row>
    <row r="245" ht="15.75" customHeight="1">
      <c r="F245" s="115"/>
      <c r="G245" s="112"/>
      <c r="H245" s="112"/>
      <c r="I245" s="112"/>
      <c r="N245" s="112"/>
      <c r="R245" s="112"/>
      <c r="V245" s="112"/>
      <c r="Z245" s="112"/>
      <c r="AA245" s="112"/>
      <c r="AB245" s="112"/>
      <c r="AC245" s="112"/>
      <c r="AD245" s="112"/>
    </row>
    <row r="246" ht="15.75" customHeight="1">
      <c r="F246" s="115"/>
      <c r="G246" s="112"/>
      <c r="H246" s="112"/>
      <c r="I246" s="112"/>
      <c r="N246" s="112"/>
      <c r="R246" s="112"/>
      <c r="V246" s="112"/>
      <c r="Z246" s="112"/>
      <c r="AA246" s="112"/>
      <c r="AB246" s="112"/>
      <c r="AC246" s="112"/>
      <c r="AD246" s="112"/>
    </row>
    <row r="247" ht="15.75" customHeight="1">
      <c r="F247" s="115"/>
      <c r="G247" s="112"/>
      <c r="H247" s="112"/>
      <c r="I247" s="112"/>
      <c r="N247" s="112"/>
      <c r="R247" s="112"/>
      <c r="V247" s="112"/>
      <c r="Z247" s="112"/>
      <c r="AA247" s="112"/>
      <c r="AB247" s="112"/>
      <c r="AC247" s="112"/>
      <c r="AD247" s="112"/>
    </row>
    <row r="248" ht="15.75" customHeight="1">
      <c r="F248" s="115"/>
      <c r="G248" s="112"/>
      <c r="H248" s="112"/>
      <c r="I248" s="112"/>
      <c r="N248" s="112"/>
      <c r="R248" s="112"/>
      <c r="V248" s="112"/>
      <c r="Z248" s="112"/>
      <c r="AA248" s="112"/>
      <c r="AB248" s="112"/>
      <c r="AC248" s="112"/>
      <c r="AD248" s="112"/>
    </row>
    <row r="249" ht="15.75" customHeight="1">
      <c r="F249" s="115"/>
      <c r="G249" s="112"/>
      <c r="H249" s="112"/>
      <c r="I249" s="112"/>
      <c r="N249" s="112"/>
      <c r="R249" s="112"/>
      <c r="V249" s="112"/>
      <c r="Z249" s="112"/>
      <c r="AA249" s="112"/>
      <c r="AB249" s="112"/>
      <c r="AC249" s="112"/>
      <c r="AD249" s="112"/>
    </row>
    <row r="250" ht="15.75" customHeight="1">
      <c r="F250" s="115"/>
      <c r="G250" s="112"/>
      <c r="H250" s="112"/>
      <c r="I250" s="112"/>
      <c r="N250" s="112"/>
      <c r="R250" s="112"/>
      <c r="V250" s="112"/>
      <c r="Z250" s="112"/>
      <c r="AA250" s="112"/>
      <c r="AB250" s="112"/>
      <c r="AC250" s="112"/>
      <c r="AD250" s="112"/>
    </row>
    <row r="251" ht="15.75" customHeight="1">
      <c r="F251" s="115"/>
      <c r="G251" s="112"/>
      <c r="H251" s="112"/>
      <c r="I251" s="112"/>
      <c r="N251" s="112"/>
      <c r="R251" s="112"/>
      <c r="V251" s="112"/>
      <c r="Z251" s="112"/>
      <c r="AA251" s="112"/>
      <c r="AB251" s="112"/>
      <c r="AC251" s="112"/>
      <c r="AD251" s="112"/>
    </row>
    <row r="252" ht="15.75" customHeight="1">
      <c r="F252" s="115"/>
      <c r="G252" s="112"/>
      <c r="H252" s="112"/>
      <c r="I252" s="112"/>
      <c r="N252" s="112"/>
      <c r="R252" s="112"/>
      <c r="V252" s="112"/>
      <c r="Z252" s="112"/>
      <c r="AA252" s="112"/>
      <c r="AB252" s="112"/>
      <c r="AC252" s="112"/>
      <c r="AD252" s="112"/>
    </row>
    <row r="253" ht="15.75" customHeight="1">
      <c r="F253" s="115"/>
      <c r="G253" s="112"/>
      <c r="H253" s="112"/>
      <c r="I253" s="112"/>
      <c r="N253" s="112"/>
      <c r="R253" s="112"/>
      <c r="V253" s="112"/>
      <c r="Z253" s="112"/>
      <c r="AA253" s="112"/>
      <c r="AB253" s="112"/>
      <c r="AC253" s="112"/>
      <c r="AD253" s="112"/>
    </row>
    <row r="254" ht="15.75" customHeight="1">
      <c r="F254" s="115"/>
      <c r="G254" s="112"/>
      <c r="H254" s="112"/>
      <c r="I254" s="112"/>
      <c r="N254" s="112"/>
      <c r="R254" s="112"/>
      <c r="V254" s="112"/>
      <c r="Z254" s="112"/>
      <c r="AA254" s="112"/>
      <c r="AB254" s="112"/>
      <c r="AC254" s="112"/>
      <c r="AD254" s="112"/>
    </row>
    <row r="255" ht="15.75" customHeight="1">
      <c r="F255" s="115"/>
      <c r="G255" s="112"/>
      <c r="H255" s="112"/>
      <c r="I255" s="112"/>
      <c r="N255" s="112"/>
      <c r="R255" s="112"/>
      <c r="V255" s="112"/>
      <c r="Z255" s="112"/>
      <c r="AA255" s="112"/>
      <c r="AB255" s="112"/>
      <c r="AC255" s="112"/>
      <c r="AD255" s="112"/>
    </row>
    <row r="256" ht="15.75" customHeight="1">
      <c r="F256" s="115"/>
      <c r="G256" s="112"/>
      <c r="H256" s="112"/>
      <c r="I256" s="112"/>
      <c r="N256" s="112"/>
      <c r="R256" s="112"/>
      <c r="V256" s="112"/>
      <c r="Z256" s="112"/>
      <c r="AA256" s="112"/>
      <c r="AB256" s="112"/>
      <c r="AC256" s="112"/>
      <c r="AD256" s="112"/>
    </row>
    <row r="257" ht="15.75" customHeight="1">
      <c r="F257" s="115"/>
      <c r="G257" s="112"/>
      <c r="H257" s="112"/>
      <c r="I257" s="112"/>
      <c r="N257" s="112"/>
      <c r="R257" s="112"/>
      <c r="V257" s="112"/>
      <c r="Z257" s="112"/>
      <c r="AA257" s="112"/>
      <c r="AB257" s="112"/>
      <c r="AC257" s="112"/>
      <c r="AD257" s="112"/>
    </row>
    <row r="258" ht="15.75" customHeight="1">
      <c r="F258" s="115"/>
      <c r="G258" s="112"/>
      <c r="H258" s="112"/>
      <c r="I258" s="112"/>
      <c r="N258" s="112"/>
      <c r="R258" s="112"/>
      <c r="V258" s="112"/>
      <c r="Z258" s="112"/>
      <c r="AA258" s="112"/>
      <c r="AB258" s="112"/>
      <c r="AC258" s="112"/>
      <c r="AD258" s="112"/>
    </row>
    <row r="259" ht="15.75" customHeight="1">
      <c r="F259" s="115"/>
      <c r="G259" s="112"/>
      <c r="H259" s="112"/>
      <c r="I259" s="112"/>
      <c r="N259" s="112"/>
      <c r="R259" s="112"/>
      <c r="V259" s="112"/>
      <c r="Z259" s="112"/>
      <c r="AA259" s="112"/>
      <c r="AB259" s="112"/>
      <c r="AC259" s="112"/>
      <c r="AD259" s="112"/>
    </row>
    <row r="260" ht="15.75" customHeight="1">
      <c r="F260" s="115"/>
      <c r="G260" s="112"/>
      <c r="H260" s="112"/>
      <c r="I260" s="112"/>
      <c r="N260" s="112"/>
      <c r="R260" s="112"/>
      <c r="V260" s="112"/>
      <c r="Z260" s="112"/>
      <c r="AA260" s="112"/>
      <c r="AB260" s="112"/>
      <c r="AC260" s="112"/>
      <c r="AD260" s="112"/>
    </row>
    <row r="261" ht="15.75" customHeight="1">
      <c r="F261" s="115"/>
      <c r="G261" s="112"/>
      <c r="H261" s="112"/>
      <c r="I261" s="112"/>
      <c r="N261" s="112"/>
      <c r="R261" s="112"/>
      <c r="V261" s="112"/>
      <c r="Z261" s="112"/>
      <c r="AA261" s="112"/>
      <c r="AB261" s="112"/>
      <c r="AC261" s="112"/>
      <c r="AD261" s="112"/>
    </row>
    <row r="262" ht="15.75" customHeight="1">
      <c r="F262" s="115"/>
      <c r="G262" s="112"/>
      <c r="H262" s="112"/>
      <c r="I262" s="112"/>
      <c r="N262" s="112"/>
      <c r="R262" s="112"/>
      <c r="V262" s="112"/>
      <c r="Z262" s="112"/>
      <c r="AA262" s="112"/>
      <c r="AB262" s="112"/>
      <c r="AC262" s="112"/>
      <c r="AD262" s="112"/>
    </row>
    <row r="263" ht="15.75" customHeight="1">
      <c r="F263" s="115"/>
      <c r="G263" s="112"/>
      <c r="H263" s="112"/>
      <c r="I263" s="112"/>
      <c r="N263" s="112"/>
      <c r="R263" s="112"/>
      <c r="V263" s="112"/>
      <c r="Z263" s="112"/>
      <c r="AA263" s="112"/>
      <c r="AB263" s="112"/>
      <c r="AC263" s="112"/>
      <c r="AD263" s="112"/>
    </row>
    <row r="264" ht="15.75" customHeight="1">
      <c r="F264" s="115"/>
      <c r="G264" s="112"/>
      <c r="H264" s="112"/>
      <c r="I264" s="112"/>
      <c r="N264" s="112"/>
      <c r="R264" s="112"/>
      <c r="V264" s="112"/>
      <c r="Z264" s="112"/>
      <c r="AA264" s="112"/>
      <c r="AB264" s="112"/>
      <c r="AC264" s="112"/>
      <c r="AD264" s="112"/>
    </row>
    <row r="265" ht="15.75" customHeight="1">
      <c r="F265" s="115"/>
      <c r="G265" s="112"/>
      <c r="H265" s="112"/>
      <c r="I265" s="112"/>
      <c r="N265" s="112"/>
      <c r="R265" s="112"/>
      <c r="V265" s="112"/>
      <c r="Z265" s="112"/>
      <c r="AA265" s="112"/>
      <c r="AB265" s="112"/>
      <c r="AC265" s="112"/>
      <c r="AD265" s="112"/>
    </row>
    <row r="266" ht="15.75" customHeight="1">
      <c r="F266" s="115"/>
      <c r="G266" s="112"/>
      <c r="H266" s="112"/>
      <c r="I266" s="112"/>
      <c r="N266" s="112"/>
      <c r="R266" s="112"/>
      <c r="V266" s="112"/>
      <c r="Z266" s="112"/>
      <c r="AA266" s="112"/>
      <c r="AB266" s="112"/>
      <c r="AC266" s="112"/>
      <c r="AD266" s="112"/>
    </row>
    <row r="267" ht="15.75" customHeight="1">
      <c r="F267" s="115"/>
      <c r="G267" s="112"/>
      <c r="H267" s="112"/>
      <c r="I267" s="112"/>
      <c r="N267" s="112"/>
      <c r="R267" s="112"/>
      <c r="V267" s="112"/>
      <c r="Z267" s="112"/>
      <c r="AA267" s="112"/>
      <c r="AB267" s="112"/>
      <c r="AC267" s="112"/>
      <c r="AD267" s="112"/>
    </row>
    <row r="268" ht="15.75" customHeight="1">
      <c r="F268" s="115"/>
      <c r="G268" s="112"/>
      <c r="H268" s="112"/>
      <c r="I268" s="112"/>
      <c r="N268" s="112"/>
      <c r="R268" s="112"/>
      <c r="V268" s="112"/>
      <c r="Z268" s="112"/>
      <c r="AA268" s="112"/>
      <c r="AB268" s="112"/>
      <c r="AC268" s="112"/>
      <c r="AD268" s="112"/>
    </row>
    <row r="269" ht="15.75" customHeight="1">
      <c r="F269" s="115"/>
      <c r="G269" s="112"/>
      <c r="H269" s="112"/>
      <c r="I269" s="112"/>
      <c r="N269" s="112"/>
      <c r="R269" s="112"/>
      <c r="V269" s="112"/>
      <c r="Z269" s="112"/>
      <c r="AA269" s="112"/>
      <c r="AB269" s="112"/>
      <c r="AC269" s="112"/>
      <c r="AD269" s="112"/>
    </row>
    <row r="270" ht="15.75" customHeight="1">
      <c r="F270" s="115"/>
      <c r="G270" s="112"/>
      <c r="H270" s="112"/>
      <c r="I270" s="112"/>
      <c r="N270" s="112"/>
      <c r="R270" s="112"/>
      <c r="V270" s="112"/>
      <c r="Z270" s="112"/>
      <c r="AA270" s="112"/>
      <c r="AB270" s="112"/>
      <c r="AC270" s="112"/>
      <c r="AD270" s="112"/>
    </row>
    <row r="271" ht="15.75" customHeight="1">
      <c r="F271" s="115"/>
      <c r="G271" s="112"/>
      <c r="H271" s="112"/>
      <c r="I271" s="112"/>
      <c r="N271" s="112"/>
      <c r="R271" s="112"/>
      <c r="V271" s="112"/>
      <c r="Z271" s="112"/>
      <c r="AA271" s="112"/>
      <c r="AB271" s="112"/>
      <c r="AC271" s="112"/>
      <c r="AD271" s="112"/>
    </row>
    <row r="272" ht="15.75" customHeight="1">
      <c r="F272" s="115"/>
      <c r="G272" s="112"/>
      <c r="H272" s="112"/>
      <c r="I272" s="112"/>
      <c r="N272" s="112"/>
      <c r="R272" s="112"/>
      <c r="V272" s="112"/>
      <c r="Z272" s="112"/>
      <c r="AA272" s="112"/>
      <c r="AB272" s="112"/>
      <c r="AC272" s="112"/>
      <c r="AD272" s="112"/>
    </row>
    <row r="273" ht="15.75" customHeight="1">
      <c r="F273" s="115"/>
      <c r="G273" s="112"/>
      <c r="H273" s="112"/>
      <c r="I273" s="112"/>
      <c r="N273" s="112"/>
      <c r="R273" s="112"/>
      <c r="V273" s="112"/>
      <c r="Z273" s="112"/>
      <c r="AA273" s="112"/>
      <c r="AB273" s="112"/>
      <c r="AC273" s="112"/>
      <c r="AD273" s="112"/>
    </row>
    <row r="274" ht="15.75" customHeight="1">
      <c r="F274" s="115"/>
      <c r="G274" s="112"/>
      <c r="H274" s="112"/>
      <c r="I274" s="112"/>
      <c r="N274" s="112"/>
      <c r="R274" s="112"/>
      <c r="V274" s="112"/>
      <c r="Z274" s="112"/>
      <c r="AA274" s="112"/>
      <c r="AB274" s="112"/>
      <c r="AC274" s="112"/>
      <c r="AD274" s="112"/>
    </row>
    <row r="275" ht="15.75" customHeight="1">
      <c r="F275" s="115"/>
      <c r="G275" s="112"/>
      <c r="H275" s="112"/>
      <c r="I275" s="112"/>
      <c r="N275" s="112"/>
      <c r="R275" s="112"/>
      <c r="V275" s="112"/>
      <c r="Z275" s="112"/>
      <c r="AA275" s="112"/>
      <c r="AB275" s="112"/>
      <c r="AC275" s="112"/>
      <c r="AD275" s="112"/>
    </row>
    <row r="276" ht="15.75" customHeight="1">
      <c r="F276" s="115"/>
      <c r="G276" s="112"/>
      <c r="H276" s="112"/>
      <c r="I276" s="112"/>
      <c r="N276" s="112"/>
      <c r="R276" s="112"/>
      <c r="V276" s="112"/>
      <c r="Z276" s="112"/>
      <c r="AA276" s="112"/>
      <c r="AB276" s="112"/>
      <c r="AC276" s="112"/>
      <c r="AD276" s="112"/>
    </row>
    <row r="277" ht="15.75" customHeight="1">
      <c r="F277" s="115"/>
      <c r="G277" s="112"/>
      <c r="H277" s="112"/>
      <c r="I277" s="112"/>
      <c r="N277" s="112"/>
      <c r="R277" s="112"/>
      <c r="V277" s="112"/>
      <c r="Z277" s="112"/>
      <c r="AA277" s="112"/>
      <c r="AB277" s="112"/>
      <c r="AC277" s="112"/>
      <c r="AD277" s="112"/>
    </row>
    <row r="278" ht="15.75" customHeight="1">
      <c r="F278" s="115"/>
      <c r="G278" s="112"/>
      <c r="H278" s="112"/>
      <c r="I278" s="112"/>
      <c r="N278" s="112"/>
      <c r="R278" s="112"/>
      <c r="V278" s="112"/>
      <c r="Z278" s="112"/>
      <c r="AA278" s="112"/>
      <c r="AB278" s="112"/>
      <c r="AC278" s="112"/>
      <c r="AD278" s="112"/>
    </row>
    <row r="279" ht="15.75" customHeight="1">
      <c r="F279" s="115"/>
      <c r="G279" s="112"/>
      <c r="H279" s="112"/>
      <c r="I279" s="112"/>
      <c r="N279" s="112"/>
      <c r="R279" s="112"/>
      <c r="V279" s="112"/>
      <c r="Z279" s="112"/>
      <c r="AA279" s="112"/>
      <c r="AB279" s="112"/>
      <c r="AC279" s="112"/>
      <c r="AD279" s="112"/>
    </row>
    <row r="280" ht="15.75" customHeight="1">
      <c r="F280" s="115"/>
      <c r="G280" s="112"/>
      <c r="H280" s="112"/>
      <c r="I280" s="112"/>
      <c r="N280" s="112"/>
      <c r="R280" s="112"/>
      <c r="V280" s="112"/>
      <c r="Z280" s="112"/>
      <c r="AA280" s="112"/>
      <c r="AB280" s="112"/>
      <c r="AC280" s="112"/>
      <c r="AD280" s="112"/>
    </row>
    <row r="281" ht="15.75" customHeight="1">
      <c r="F281" s="115"/>
      <c r="G281" s="112"/>
      <c r="H281" s="112"/>
      <c r="I281" s="112"/>
      <c r="N281" s="112"/>
      <c r="R281" s="112"/>
      <c r="V281" s="112"/>
      <c r="Z281" s="112"/>
      <c r="AA281" s="112"/>
      <c r="AB281" s="112"/>
      <c r="AC281" s="112"/>
      <c r="AD281" s="112"/>
    </row>
    <row r="282" ht="15.75" customHeight="1">
      <c r="F282" s="115"/>
      <c r="G282" s="112"/>
      <c r="H282" s="112"/>
      <c r="I282" s="112"/>
      <c r="N282" s="112"/>
      <c r="R282" s="112"/>
      <c r="V282" s="112"/>
      <c r="Z282" s="112"/>
      <c r="AA282" s="112"/>
      <c r="AB282" s="112"/>
      <c r="AC282" s="112"/>
      <c r="AD282" s="112"/>
    </row>
    <row r="283" ht="15.75" customHeight="1">
      <c r="F283" s="115"/>
      <c r="G283" s="112"/>
      <c r="H283" s="112"/>
      <c r="I283" s="112"/>
      <c r="N283" s="112"/>
      <c r="R283" s="112"/>
      <c r="V283" s="112"/>
      <c r="Z283" s="112"/>
      <c r="AA283" s="112"/>
      <c r="AB283" s="112"/>
      <c r="AC283" s="112"/>
      <c r="AD283" s="112"/>
    </row>
    <row r="284" ht="15.75" customHeight="1">
      <c r="F284" s="115"/>
      <c r="G284" s="112"/>
      <c r="H284" s="112"/>
      <c r="I284" s="112"/>
      <c r="N284" s="112"/>
      <c r="R284" s="112"/>
      <c r="V284" s="112"/>
      <c r="Z284" s="112"/>
      <c r="AA284" s="112"/>
      <c r="AB284" s="112"/>
      <c r="AC284" s="112"/>
      <c r="AD284" s="112"/>
    </row>
    <row r="285" ht="15.75" customHeight="1">
      <c r="F285" s="115"/>
      <c r="G285" s="112"/>
      <c r="H285" s="112"/>
      <c r="I285" s="112"/>
      <c r="N285" s="112"/>
      <c r="R285" s="112"/>
      <c r="V285" s="112"/>
      <c r="Z285" s="112"/>
      <c r="AA285" s="112"/>
      <c r="AB285" s="112"/>
      <c r="AC285" s="112"/>
      <c r="AD285" s="112"/>
    </row>
    <row r="286" ht="15.75" customHeight="1">
      <c r="F286" s="115"/>
      <c r="G286" s="112"/>
      <c r="H286" s="112"/>
      <c r="I286" s="112"/>
      <c r="N286" s="112"/>
      <c r="R286" s="112"/>
      <c r="V286" s="112"/>
      <c r="Z286" s="112"/>
      <c r="AA286" s="112"/>
      <c r="AB286" s="112"/>
      <c r="AC286" s="112"/>
      <c r="AD286" s="112"/>
    </row>
    <row r="287" ht="15.75" customHeight="1">
      <c r="F287" s="115"/>
      <c r="G287" s="112"/>
      <c r="H287" s="112"/>
      <c r="I287" s="112"/>
      <c r="N287" s="112"/>
      <c r="R287" s="112"/>
      <c r="V287" s="112"/>
      <c r="Z287" s="112"/>
      <c r="AA287" s="112"/>
      <c r="AB287" s="112"/>
      <c r="AC287" s="112"/>
      <c r="AD287" s="112"/>
    </row>
    <row r="288" ht="15.75" customHeight="1">
      <c r="F288" s="115"/>
      <c r="G288" s="112"/>
      <c r="H288" s="112"/>
      <c r="I288" s="112"/>
      <c r="N288" s="112"/>
      <c r="R288" s="112"/>
      <c r="V288" s="112"/>
      <c r="Z288" s="112"/>
      <c r="AA288" s="112"/>
      <c r="AB288" s="112"/>
      <c r="AC288" s="112"/>
      <c r="AD288" s="112"/>
    </row>
    <row r="289" ht="15.75" customHeight="1">
      <c r="F289" s="115"/>
      <c r="G289" s="112"/>
      <c r="H289" s="112"/>
      <c r="I289" s="112"/>
      <c r="N289" s="112"/>
      <c r="R289" s="112"/>
      <c r="V289" s="112"/>
      <c r="Z289" s="112"/>
      <c r="AA289" s="112"/>
      <c r="AB289" s="112"/>
      <c r="AC289" s="112"/>
      <c r="AD289" s="112"/>
    </row>
    <row r="290" ht="15.75" customHeight="1">
      <c r="F290" s="115"/>
      <c r="G290" s="112"/>
      <c r="H290" s="112"/>
      <c r="I290" s="112"/>
      <c r="N290" s="112"/>
      <c r="R290" s="112"/>
      <c r="V290" s="112"/>
      <c r="Z290" s="112"/>
      <c r="AA290" s="112"/>
      <c r="AB290" s="112"/>
      <c r="AC290" s="112"/>
      <c r="AD290" s="112"/>
    </row>
    <row r="291" ht="15.75" customHeight="1">
      <c r="F291" s="115"/>
      <c r="G291" s="112"/>
      <c r="H291" s="112"/>
      <c r="I291" s="112"/>
      <c r="N291" s="112"/>
      <c r="R291" s="112"/>
      <c r="V291" s="112"/>
      <c r="Z291" s="112"/>
      <c r="AA291" s="112"/>
      <c r="AB291" s="112"/>
      <c r="AC291" s="112"/>
      <c r="AD291" s="112"/>
    </row>
    <row r="292" ht="15.75" customHeight="1">
      <c r="F292" s="115"/>
      <c r="G292" s="112"/>
      <c r="H292" s="112"/>
      <c r="I292" s="112"/>
      <c r="N292" s="112"/>
      <c r="R292" s="112"/>
      <c r="V292" s="112"/>
      <c r="Z292" s="112"/>
      <c r="AA292" s="112"/>
      <c r="AB292" s="112"/>
      <c r="AC292" s="112"/>
      <c r="AD292" s="112"/>
    </row>
    <row r="293" ht="15.75" customHeight="1">
      <c r="F293" s="115"/>
      <c r="G293" s="112"/>
      <c r="H293" s="112"/>
      <c r="I293" s="112"/>
      <c r="N293" s="112"/>
      <c r="R293" s="112"/>
      <c r="V293" s="112"/>
      <c r="Z293" s="112"/>
      <c r="AA293" s="112"/>
      <c r="AB293" s="112"/>
      <c r="AC293" s="112"/>
      <c r="AD293" s="112"/>
    </row>
    <row r="294" ht="15.75" customHeight="1">
      <c r="F294" s="115"/>
      <c r="G294" s="112"/>
      <c r="H294" s="112"/>
      <c r="I294" s="112"/>
      <c r="N294" s="112"/>
      <c r="R294" s="112"/>
      <c r="V294" s="112"/>
      <c r="Z294" s="112"/>
      <c r="AA294" s="112"/>
      <c r="AB294" s="112"/>
      <c r="AC294" s="112"/>
      <c r="AD294" s="112"/>
    </row>
    <row r="295" ht="15.75" customHeight="1">
      <c r="F295" s="115"/>
      <c r="G295" s="112"/>
      <c r="H295" s="112"/>
      <c r="I295" s="112"/>
      <c r="N295" s="112"/>
      <c r="R295" s="112"/>
      <c r="V295" s="112"/>
      <c r="Z295" s="112"/>
      <c r="AA295" s="112"/>
      <c r="AB295" s="112"/>
      <c r="AC295" s="112"/>
      <c r="AD295" s="112"/>
    </row>
    <row r="296" ht="15.75" customHeight="1">
      <c r="F296" s="115"/>
      <c r="G296" s="112"/>
      <c r="H296" s="112"/>
      <c r="I296" s="112"/>
      <c r="N296" s="112"/>
      <c r="R296" s="112"/>
      <c r="V296" s="112"/>
      <c r="Z296" s="112"/>
      <c r="AA296" s="112"/>
      <c r="AB296" s="112"/>
      <c r="AC296" s="112"/>
      <c r="AD296" s="112"/>
    </row>
    <row r="297" ht="15.75" customHeight="1">
      <c r="F297" s="115"/>
      <c r="G297" s="112"/>
      <c r="H297" s="112"/>
      <c r="I297" s="112"/>
      <c r="N297" s="112"/>
      <c r="R297" s="112"/>
      <c r="V297" s="112"/>
      <c r="Z297" s="112"/>
      <c r="AA297" s="112"/>
      <c r="AB297" s="112"/>
      <c r="AC297" s="112"/>
      <c r="AD297" s="112"/>
    </row>
    <row r="298" ht="15.75" customHeight="1">
      <c r="F298" s="115"/>
      <c r="G298" s="112"/>
      <c r="H298" s="112"/>
      <c r="I298" s="112"/>
      <c r="N298" s="112"/>
      <c r="R298" s="112"/>
      <c r="V298" s="112"/>
      <c r="Z298" s="112"/>
      <c r="AA298" s="112"/>
      <c r="AB298" s="112"/>
      <c r="AC298" s="112"/>
      <c r="AD298" s="112"/>
    </row>
    <row r="299" ht="15.75" customHeight="1">
      <c r="F299" s="115"/>
      <c r="G299" s="112"/>
      <c r="H299" s="112"/>
      <c r="I299" s="112"/>
      <c r="N299" s="112"/>
      <c r="R299" s="112"/>
      <c r="V299" s="112"/>
      <c r="Z299" s="112"/>
      <c r="AA299" s="112"/>
      <c r="AB299" s="112"/>
      <c r="AC299" s="112"/>
      <c r="AD299" s="112"/>
    </row>
    <row r="300" ht="15.75" customHeight="1">
      <c r="F300" s="115"/>
      <c r="G300" s="112"/>
      <c r="H300" s="112"/>
      <c r="I300" s="112"/>
      <c r="N300" s="112"/>
      <c r="R300" s="112"/>
      <c r="V300" s="112"/>
      <c r="Z300" s="112"/>
      <c r="AA300" s="112"/>
      <c r="AB300" s="112"/>
      <c r="AC300" s="112"/>
      <c r="AD300" s="112"/>
    </row>
    <row r="301" ht="15.75" customHeight="1">
      <c r="F301" s="115"/>
      <c r="G301" s="112"/>
      <c r="H301" s="112"/>
      <c r="I301" s="112"/>
      <c r="N301" s="112"/>
      <c r="R301" s="112"/>
      <c r="V301" s="112"/>
      <c r="Z301" s="112"/>
      <c r="AA301" s="112"/>
      <c r="AB301" s="112"/>
      <c r="AC301" s="112"/>
      <c r="AD301" s="112"/>
    </row>
    <row r="302" ht="15.75" customHeight="1">
      <c r="F302" s="115"/>
      <c r="G302" s="112"/>
      <c r="H302" s="112"/>
      <c r="I302" s="112"/>
      <c r="N302" s="112"/>
      <c r="R302" s="112"/>
      <c r="V302" s="112"/>
      <c r="Z302" s="112"/>
      <c r="AA302" s="112"/>
      <c r="AB302" s="112"/>
      <c r="AC302" s="112"/>
      <c r="AD302" s="112"/>
    </row>
    <row r="303" ht="15.75" customHeight="1">
      <c r="F303" s="115"/>
      <c r="G303" s="112"/>
      <c r="H303" s="112"/>
      <c r="I303" s="112"/>
      <c r="N303" s="112"/>
      <c r="R303" s="112"/>
      <c r="V303" s="112"/>
      <c r="Z303" s="112"/>
      <c r="AA303" s="112"/>
      <c r="AB303" s="112"/>
      <c r="AC303" s="112"/>
      <c r="AD303" s="112"/>
    </row>
    <row r="304" ht="15.75" customHeight="1">
      <c r="F304" s="115"/>
      <c r="G304" s="112"/>
      <c r="H304" s="112"/>
      <c r="I304" s="112"/>
      <c r="N304" s="112"/>
      <c r="R304" s="112"/>
      <c r="V304" s="112"/>
      <c r="Z304" s="112"/>
      <c r="AA304" s="112"/>
      <c r="AB304" s="112"/>
      <c r="AC304" s="112"/>
      <c r="AD304" s="112"/>
    </row>
    <row r="305" ht="15.75" customHeight="1">
      <c r="F305" s="115"/>
      <c r="G305" s="112"/>
      <c r="H305" s="112"/>
      <c r="I305" s="112"/>
      <c r="N305" s="112"/>
      <c r="R305" s="112"/>
      <c r="V305" s="112"/>
      <c r="Z305" s="112"/>
      <c r="AA305" s="112"/>
      <c r="AB305" s="112"/>
      <c r="AC305" s="112"/>
      <c r="AD305" s="112"/>
    </row>
    <row r="306" ht="15.75" customHeight="1">
      <c r="F306" s="115"/>
      <c r="G306" s="112"/>
      <c r="H306" s="112"/>
      <c r="I306" s="112"/>
      <c r="N306" s="112"/>
      <c r="R306" s="112"/>
      <c r="V306" s="112"/>
      <c r="Z306" s="112"/>
      <c r="AA306" s="112"/>
      <c r="AB306" s="112"/>
      <c r="AC306" s="112"/>
      <c r="AD306" s="112"/>
    </row>
    <row r="307" ht="15.75" customHeight="1">
      <c r="F307" s="115"/>
      <c r="G307" s="112"/>
      <c r="H307" s="112"/>
      <c r="I307" s="112"/>
      <c r="N307" s="112"/>
      <c r="R307" s="112"/>
      <c r="V307" s="112"/>
      <c r="Z307" s="112"/>
      <c r="AA307" s="112"/>
      <c r="AB307" s="112"/>
      <c r="AC307" s="112"/>
      <c r="AD307" s="112"/>
    </row>
    <row r="308" ht="15.75" customHeight="1">
      <c r="F308" s="115"/>
      <c r="G308" s="112"/>
      <c r="H308" s="112"/>
      <c r="I308" s="112"/>
      <c r="N308" s="112"/>
      <c r="R308" s="112"/>
      <c r="V308" s="112"/>
      <c r="Z308" s="112"/>
      <c r="AA308" s="112"/>
      <c r="AB308" s="112"/>
      <c r="AC308" s="112"/>
      <c r="AD308" s="112"/>
    </row>
    <row r="309" ht="15.75" customHeight="1">
      <c r="F309" s="115"/>
      <c r="G309" s="112"/>
      <c r="H309" s="112"/>
      <c r="I309" s="112"/>
      <c r="N309" s="112"/>
      <c r="R309" s="112"/>
      <c r="V309" s="112"/>
      <c r="Z309" s="112"/>
      <c r="AA309" s="112"/>
      <c r="AB309" s="112"/>
      <c r="AC309" s="112"/>
      <c r="AD309" s="112"/>
    </row>
    <row r="310" ht="15.75" customHeight="1">
      <c r="F310" s="115"/>
      <c r="G310" s="112"/>
      <c r="H310" s="112"/>
      <c r="I310" s="112"/>
      <c r="N310" s="112"/>
      <c r="R310" s="112"/>
      <c r="V310" s="112"/>
      <c r="Z310" s="112"/>
      <c r="AA310" s="112"/>
      <c r="AB310" s="112"/>
      <c r="AC310" s="112"/>
      <c r="AD310" s="112"/>
    </row>
    <row r="311" ht="15.75" customHeight="1">
      <c r="F311" s="115"/>
      <c r="G311" s="112"/>
      <c r="H311" s="112"/>
      <c r="I311" s="112"/>
      <c r="N311" s="112"/>
      <c r="R311" s="112"/>
      <c r="V311" s="112"/>
      <c r="Z311" s="112"/>
      <c r="AA311" s="112"/>
      <c r="AB311" s="112"/>
      <c r="AC311" s="112"/>
      <c r="AD311" s="112"/>
    </row>
    <row r="312" ht="15.75" customHeight="1">
      <c r="F312" s="115"/>
      <c r="G312" s="112"/>
      <c r="H312" s="112"/>
      <c r="I312" s="112"/>
      <c r="N312" s="112"/>
      <c r="R312" s="112"/>
      <c r="V312" s="112"/>
      <c r="Z312" s="112"/>
      <c r="AA312" s="112"/>
      <c r="AB312" s="112"/>
      <c r="AC312" s="112"/>
      <c r="AD312" s="112"/>
    </row>
    <row r="313" ht="15.75" customHeight="1">
      <c r="F313" s="115"/>
      <c r="G313" s="112"/>
      <c r="H313" s="112"/>
      <c r="I313" s="112"/>
      <c r="N313" s="112"/>
      <c r="R313" s="112"/>
      <c r="V313" s="112"/>
      <c r="Z313" s="112"/>
      <c r="AA313" s="112"/>
      <c r="AB313" s="112"/>
      <c r="AC313" s="112"/>
      <c r="AD313" s="112"/>
    </row>
    <row r="314" ht="15.75" customHeight="1">
      <c r="F314" s="115"/>
      <c r="G314" s="112"/>
      <c r="H314" s="112"/>
      <c r="I314" s="112"/>
      <c r="N314" s="112"/>
      <c r="R314" s="112"/>
      <c r="V314" s="112"/>
      <c r="Z314" s="112"/>
      <c r="AA314" s="112"/>
      <c r="AB314" s="112"/>
      <c r="AC314" s="112"/>
      <c r="AD314" s="112"/>
    </row>
    <row r="315" ht="15.75" customHeight="1">
      <c r="F315" s="115"/>
      <c r="G315" s="112"/>
      <c r="H315" s="112"/>
      <c r="I315" s="112"/>
      <c r="N315" s="112"/>
      <c r="R315" s="112"/>
      <c r="V315" s="112"/>
      <c r="Z315" s="112"/>
      <c r="AA315" s="112"/>
      <c r="AB315" s="112"/>
      <c r="AC315" s="112"/>
      <c r="AD315" s="112"/>
    </row>
    <row r="316" ht="15.75" customHeight="1">
      <c r="F316" s="115"/>
      <c r="G316" s="112"/>
      <c r="H316" s="112"/>
      <c r="I316" s="112"/>
      <c r="N316" s="112"/>
      <c r="R316" s="112"/>
      <c r="V316" s="112"/>
      <c r="Z316" s="112"/>
      <c r="AA316" s="112"/>
      <c r="AB316" s="112"/>
      <c r="AC316" s="112"/>
      <c r="AD316" s="112"/>
    </row>
    <row r="317" ht="15.75" customHeight="1">
      <c r="F317" s="115"/>
      <c r="G317" s="112"/>
      <c r="H317" s="112"/>
      <c r="I317" s="112"/>
      <c r="N317" s="112"/>
      <c r="R317" s="112"/>
      <c r="V317" s="112"/>
      <c r="Z317" s="112"/>
      <c r="AA317" s="112"/>
      <c r="AB317" s="112"/>
      <c r="AC317" s="112"/>
      <c r="AD317" s="112"/>
    </row>
    <row r="318" ht="15.75" customHeight="1">
      <c r="F318" s="115"/>
      <c r="G318" s="112"/>
      <c r="H318" s="112"/>
      <c r="I318" s="112"/>
      <c r="N318" s="112"/>
      <c r="R318" s="112"/>
      <c r="V318" s="112"/>
      <c r="Z318" s="112"/>
      <c r="AA318" s="112"/>
      <c r="AB318" s="112"/>
      <c r="AC318" s="112"/>
      <c r="AD318" s="112"/>
    </row>
    <row r="319" ht="15.75" customHeight="1">
      <c r="F319" s="115"/>
      <c r="G319" s="112"/>
      <c r="H319" s="112"/>
      <c r="I319" s="112"/>
      <c r="N319" s="112"/>
      <c r="R319" s="112"/>
      <c r="V319" s="112"/>
      <c r="Z319" s="112"/>
      <c r="AA319" s="112"/>
      <c r="AB319" s="112"/>
      <c r="AC319" s="112"/>
      <c r="AD319" s="112"/>
    </row>
    <row r="320" ht="15.75" customHeight="1">
      <c r="F320" s="115"/>
      <c r="G320" s="112"/>
      <c r="H320" s="112"/>
      <c r="I320" s="112"/>
      <c r="N320" s="112"/>
      <c r="R320" s="112"/>
      <c r="V320" s="112"/>
      <c r="Z320" s="112"/>
      <c r="AA320" s="112"/>
      <c r="AB320" s="112"/>
      <c r="AC320" s="112"/>
      <c r="AD320" s="112"/>
    </row>
    <row r="321" ht="15.75" customHeight="1">
      <c r="F321" s="115"/>
      <c r="G321" s="112"/>
      <c r="H321" s="112"/>
      <c r="I321" s="112"/>
      <c r="N321" s="112"/>
      <c r="R321" s="112"/>
      <c r="V321" s="112"/>
      <c r="Z321" s="112"/>
      <c r="AA321" s="112"/>
      <c r="AB321" s="112"/>
      <c r="AC321" s="112"/>
      <c r="AD321" s="112"/>
    </row>
    <row r="322" ht="15.75" customHeight="1">
      <c r="F322" s="115"/>
      <c r="G322" s="112"/>
      <c r="H322" s="112"/>
      <c r="I322" s="112"/>
      <c r="N322" s="112"/>
      <c r="R322" s="112"/>
      <c r="V322" s="112"/>
      <c r="Z322" s="112"/>
      <c r="AA322" s="112"/>
      <c r="AB322" s="112"/>
      <c r="AC322" s="112"/>
      <c r="AD322" s="112"/>
    </row>
    <row r="323" ht="15.75" customHeight="1">
      <c r="F323" s="115"/>
      <c r="G323" s="112"/>
      <c r="H323" s="112"/>
      <c r="I323" s="112"/>
      <c r="N323" s="112"/>
      <c r="R323" s="112"/>
      <c r="V323" s="112"/>
      <c r="Z323" s="112"/>
      <c r="AA323" s="112"/>
      <c r="AB323" s="112"/>
      <c r="AC323" s="112"/>
      <c r="AD323" s="112"/>
    </row>
    <row r="324" ht="15.75" customHeight="1">
      <c r="F324" s="115"/>
      <c r="G324" s="112"/>
      <c r="H324" s="112"/>
      <c r="I324" s="112"/>
      <c r="N324" s="112"/>
      <c r="R324" s="112"/>
      <c r="V324" s="112"/>
      <c r="Z324" s="112"/>
      <c r="AA324" s="112"/>
      <c r="AB324" s="112"/>
      <c r="AC324" s="112"/>
      <c r="AD324" s="112"/>
    </row>
    <row r="325" ht="15.75" customHeight="1">
      <c r="F325" s="115"/>
      <c r="G325" s="112"/>
      <c r="H325" s="112"/>
      <c r="I325" s="112"/>
      <c r="N325" s="112"/>
      <c r="R325" s="112"/>
      <c r="V325" s="112"/>
      <c r="Z325" s="112"/>
      <c r="AA325" s="112"/>
      <c r="AB325" s="112"/>
      <c r="AC325" s="112"/>
      <c r="AD325" s="112"/>
    </row>
    <row r="326" ht="15.75" customHeight="1">
      <c r="F326" s="115"/>
      <c r="G326" s="112"/>
      <c r="H326" s="112"/>
      <c r="I326" s="112"/>
      <c r="N326" s="112"/>
      <c r="R326" s="112"/>
      <c r="V326" s="112"/>
      <c r="Z326" s="112"/>
      <c r="AA326" s="112"/>
      <c r="AB326" s="112"/>
      <c r="AC326" s="112"/>
      <c r="AD326" s="112"/>
    </row>
    <row r="327" ht="15.75" customHeight="1">
      <c r="F327" s="115"/>
      <c r="G327" s="112"/>
      <c r="H327" s="112"/>
      <c r="I327" s="112"/>
      <c r="N327" s="112"/>
      <c r="R327" s="112"/>
      <c r="V327" s="112"/>
      <c r="Z327" s="112"/>
      <c r="AA327" s="112"/>
      <c r="AB327" s="112"/>
      <c r="AC327" s="112"/>
      <c r="AD327" s="112"/>
    </row>
    <row r="328" ht="15.75" customHeight="1">
      <c r="F328" s="115"/>
      <c r="G328" s="112"/>
      <c r="H328" s="112"/>
      <c r="I328" s="112"/>
      <c r="N328" s="112"/>
      <c r="R328" s="112"/>
      <c r="V328" s="112"/>
      <c r="Z328" s="112"/>
      <c r="AA328" s="112"/>
      <c r="AB328" s="112"/>
      <c r="AC328" s="112"/>
      <c r="AD328" s="112"/>
    </row>
    <row r="329" ht="15.75" customHeight="1">
      <c r="F329" s="115"/>
      <c r="G329" s="112"/>
      <c r="H329" s="112"/>
      <c r="I329" s="112"/>
      <c r="N329" s="112"/>
      <c r="R329" s="112"/>
      <c r="V329" s="112"/>
      <c r="Z329" s="112"/>
      <c r="AA329" s="112"/>
      <c r="AB329" s="112"/>
      <c r="AC329" s="112"/>
      <c r="AD329" s="112"/>
    </row>
    <row r="330" ht="15.75" customHeight="1">
      <c r="F330" s="115"/>
      <c r="G330" s="112"/>
      <c r="H330" s="112"/>
      <c r="I330" s="112"/>
      <c r="N330" s="112"/>
      <c r="R330" s="112"/>
      <c r="V330" s="112"/>
      <c r="Z330" s="112"/>
      <c r="AA330" s="112"/>
      <c r="AB330" s="112"/>
      <c r="AC330" s="112"/>
      <c r="AD330" s="112"/>
    </row>
    <row r="331" ht="15.75" customHeight="1">
      <c r="F331" s="115"/>
      <c r="G331" s="112"/>
      <c r="H331" s="112"/>
      <c r="I331" s="112"/>
      <c r="N331" s="112"/>
      <c r="R331" s="112"/>
      <c r="V331" s="112"/>
      <c r="Z331" s="112"/>
      <c r="AA331" s="112"/>
      <c r="AB331" s="112"/>
      <c r="AC331" s="112"/>
      <c r="AD331" s="112"/>
    </row>
    <row r="332" ht="15.75" customHeight="1">
      <c r="F332" s="115"/>
      <c r="G332" s="112"/>
      <c r="H332" s="112"/>
      <c r="I332" s="112"/>
      <c r="N332" s="112"/>
      <c r="R332" s="112"/>
      <c r="V332" s="112"/>
      <c r="Z332" s="112"/>
      <c r="AA332" s="112"/>
      <c r="AB332" s="112"/>
      <c r="AC332" s="112"/>
      <c r="AD332" s="112"/>
    </row>
    <row r="333" ht="15.75" customHeight="1">
      <c r="F333" s="115"/>
      <c r="G333" s="112"/>
      <c r="H333" s="112"/>
      <c r="I333" s="112"/>
      <c r="N333" s="112"/>
      <c r="R333" s="112"/>
      <c r="V333" s="112"/>
      <c r="Z333" s="112"/>
      <c r="AA333" s="112"/>
      <c r="AB333" s="112"/>
      <c r="AC333" s="112"/>
      <c r="AD333" s="112"/>
    </row>
    <row r="334" ht="15.75" customHeight="1">
      <c r="F334" s="115"/>
      <c r="G334" s="112"/>
      <c r="H334" s="112"/>
      <c r="I334" s="112"/>
      <c r="N334" s="112"/>
      <c r="R334" s="112"/>
      <c r="V334" s="112"/>
      <c r="Z334" s="112"/>
      <c r="AA334" s="112"/>
      <c r="AB334" s="112"/>
      <c r="AC334" s="112"/>
      <c r="AD334" s="112"/>
    </row>
    <row r="335" ht="15.75" customHeight="1">
      <c r="F335" s="115"/>
      <c r="G335" s="112"/>
      <c r="H335" s="112"/>
      <c r="I335" s="112"/>
      <c r="N335" s="112"/>
      <c r="R335" s="112"/>
      <c r="V335" s="112"/>
      <c r="Z335" s="112"/>
      <c r="AA335" s="112"/>
      <c r="AB335" s="112"/>
      <c r="AC335" s="112"/>
      <c r="AD335" s="112"/>
    </row>
    <row r="336" ht="15.75" customHeight="1">
      <c r="F336" s="115"/>
      <c r="G336" s="112"/>
      <c r="H336" s="112"/>
      <c r="I336" s="112"/>
      <c r="N336" s="112"/>
      <c r="R336" s="112"/>
      <c r="V336" s="112"/>
      <c r="Z336" s="112"/>
      <c r="AA336" s="112"/>
      <c r="AB336" s="112"/>
      <c r="AC336" s="112"/>
      <c r="AD336" s="112"/>
    </row>
    <row r="337" ht="15.75" customHeight="1">
      <c r="F337" s="115"/>
      <c r="G337" s="112"/>
      <c r="H337" s="112"/>
      <c r="I337" s="112"/>
      <c r="N337" s="112"/>
      <c r="R337" s="112"/>
      <c r="V337" s="112"/>
      <c r="Z337" s="112"/>
      <c r="AA337" s="112"/>
      <c r="AB337" s="112"/>
      <c r="AC337" s="112"/>
      <c r="AD337" s="112"/>
    </row>
    <row r="338" ht="15.75" customHeight="1">
      <c r="F338" s="115"/>
      <c r="G338" s="112"/>
      <c r="H338" s="112"/>
      <c r="I338" s="112"/>
      <c r="N338" s="112"/>
      <c r="R338" s="112"/>
      <c r="V338" s="112"/>
      <c r="Z338" s="112"/>
      <c r="AA338" s="112"/>
      <c r="AB338" s="112"/>
      <c r="AC338" s="112"/>
      <c r="AD338" s="112"/>
    </row>
    <row r="339" ht="15.75" customHeight="1">
      <c r="F339" s="115"/>
      <c r="G339" s="112"/>
      <c r="H339" s="112"/>
      <c r="I339" s="112"/>
      <c r="N339" s="112"/>
      <c r="R339" s="112"/>
      <c r="V339" s="112"/>
      <c r="Z339" s="112"/>
      <c r="AA339" s="112"/>
      <c r="AB339" s="112"/>
      <c r="AC339" s="112"/>
      <c r="AD339" s="112"/>
    </row>
    <row r="340" ht="15.75" customHeight="1">
      <c r="F340" s="115"/>
      <c r="G340" s="112"/>
      <c r="H340" s="112"/>
      <c r="I340" s="112"/>
      <c r="N340" s="112"/>
      <c r="R340" s="112"/>
      <c r="V340" s="112"/>
      <c r="Z340" s="112"/>
      <c r="AA340" s="112"/>
      <c r="AB340" s="112"/>
      <c r="AC340" s="112"/>
      <c r="AD340" s="112"/>
    </row>
    <row r="341" ht="15.75" customHeight="1">
      <c r="F341" s="115"/>
      <c r="G341" s="112"/>
      <c r="H341" s="112"/>
      <c r="I341" s="112"/>
      <c r="N341" s="112"/>
      <c r="R341" s="112"/>
      <c r="V341" s="112"/>
      <c r="Z341" s="112"/>
      <c r="AA341" s="112"/>
      <c r="AB341" s="112"/>
      <c r="AC341" s="112"/>
      <c r="AD341" s="112"/>
    </row>
    <row r="342" ht="15.75" customHeight="1">
      <c r="F342" s="115"/>
      <c r="G342" s="112"/>
      <c r="H342" s="112"/>
      <c r="I342" s="112"/>
      <c r="N342" s="112"/>
      <c r="R342" s="112"/>
      <c r="V342" s="112"/>
      <c r="Z342" s="112"/>
      <c r="AA342" s="112"/>
      <c r="AB342" s="112"/>
      <c r="AC342" s="112"/>
      <c r="AD342" s="112"/>
    </row>
    <row r="343" ht="15.75" customHeight="1">
      <c r="F343" s="115"/>
      <c r="G343" s="112"/>
      <c r="H343" s="112"/>
      <c r="I343" s="112"/>
      <c r="N343" s="112"/>
      <c r="R343" s="112"/>
      <c r="V343" s="112"/>
      <c r="Z343" s="112"/>
      <c r="AA343" s="112"/>
      <c r="AB343" s="112"/>
      <c r="AC343" s="112"/>
      <c r="AD343" s="112"/>
    </row>
    <row r="344" ht="15.75" customHeight="1">
      <c r="F344" s="115"/>
      <c r="G344" s="112"/>
      <c r="H344" s="112"/>
      <c r="I344" s="112"/>
      <c r="N344" s="112"/>
      <c r="R344" s="112"/>
      <c r="V344" s="112"/>
      <c r="Z344" s="112"/>
      <c r="AA344" s="112"/>
      <c r="AB344" s="112"/>
      <c r="AC344" s="112"/>
      <c r="AD344" s="112"/>
    </row>
    <row r="345" ht="15.75" customHeight="1">
      <c r="F345" s="115"/>
      <c r="G345" s="112"/>
      <c r="H345" s="112"/>
      <c r="I345" s="112"/>
      <c r="N345" s="112"/>
      <c r="R345" s="112"/>
      <c r="V345" s="112"/>
      <c r="Z345" s="112"/>
      <c r="AA345" s="112"/>
      <c r="AB345" s="112"/>
      <c r="AC345" s="112"/>
      <c r="AD345" s="112"/>
    </row>
    <row r="346" ht="15.75" customHeight="1">
      <c r="F346" s="115"/>
      <c r="G346" s="112"/>
      <c r="H346" s="112"/>
      <c r="I346" s="112"/>
      <c r="N346" s="112"/>
      <c r="R346" s="112"/>
      <c r="V346" s="112"/>
      <c r="Z346" s="112"/>
      <c r="AA346" s="112"/>
      <c r="AB346" s="112"/>
      <c r="AC346" s="112"/>
      <c r="AD346" s="112"/>
    </row>
    <row r="347" ht="15.75" customHeight="1">
      <c r="F347" s="115"/>
      <c r="G347" s="112"/>
      <c r="H347" s="112"/>
      <c r="I347" s="112"/>
      <c r="N347" s="112"/>
      <c r="R347" s="112"/>
      <c r="V347" s="112"/>
      <c r="Z347" s="112"/>
      <c r="AA347" s="112"/>
      <c r="AB347" s="112"/>
      <c r="AC347" s="112"/>
      <c r="AD347" s="112"/>
    </row>
    <row r="348" ht="15.75" customHeight="1">
      <c r="F348" s="115"/>
      <c r="G348" s="112"/>
      <c r="H348" s="112"/>
      <c r="I348" s="112"/>
      <c r="N348" s="112"/>
      <c r="R348" s="112"/>
      <c r="V348" s="112"/>
      <c r="Z348" s="112"/>
      <c r="AA348" s="112"/>
      <c r="AB348" s="112"/>
      <c r="AC348" s="112"/>
      <c r="AD348" s="112"/>
    </row>
    <row r="349" ht="15.75" customHeight="1">
      <c r="F349" s="115"/>
      <c r="G349" s="112"/>
      <c r="H349" s="112"/>
      <c r="I349" s="112"/>
      <c r="N349" s="112"/>
      <c r="R349" s="112"/>
      <c r="V349" s="112"/>
      <c r="Z349" s="112"/>
      <c r="AA349" s="112"/>
      <c r="AB349" s="112"/>
      <c r="AC349" s="112"/>
      <c r="AD349" s="112"/>
    </row>
    <row r="350" ht="15.75" customHeight="1">
      <c r="F350" s="115"/>
      <c r="G350" s="112"/>
      <c r="H350" s="112"/>
      <c r="I350" s="112"/>
      <c r="N350" s="112"/>
      <c r="R350" s="112"/>
      <c r="V350" s="112"/>
      <c r="Z350" s="112"/>
      <c r="AA350" s="112"/>
      <c r="AB350" s="112"/>
      <c r="AC350" s="112"/>
      <c r="AD350" s="112"/>
    </row>
    <row r="351" ht="15.75" customHeight="1">
      <c r="F351" s="115"/>
      <c r="G351" s="112"/>
      <c r="H351" s="112"/>
      <c r="I351" s="112"/>
      <c r="N351" s="112"/>
      <c r="R351" s="112"/>
      <c r="V351" s="112"/>
      <c r="Z351" s="112"/>
      <c r="AA351" s="112"/>
      <c r="AB351" s="112"/>
      <c r="AC351" s="112"/>
      <c r="AD351" s="112"/>
    </row>
    <row r="352" ht="15.75" customHeight="1">
      <c r="F352" s="115"/>
      <c r="G352" s="112"/>
      <c r="H352" s="112"/>
      <c r="I352" s="112"/>
      <c r="N352" s="112"/>
      <c r="R352" s="112"/>
      <c r="V352" s="112"/>
      <c r="Z352" s="112"/>
      <c r="AA352" s="112"/>
      <c r="AB352" s="112"/>
      <c r="AC352" s="112"/>
      <c r="AD352" s="112"/>
    </row>
    <row r="353" ht="15.75" customHeight="1">
      <c r="F353" s="115"/>
      <c r="G353" s="112"/>
      <c r="H353" s="112"/>
      <c r="I353" s="112"/>
      <c r="N353" s="112"/>
      <c r="R353" s="112"/>
      <c r="V353" s="112"/>
      <c r="Z353" s="112"/>
      <c r="AA353" s="112"/>
      <c r="AB353" s="112"/>
      <c r="AC353" s="112"/>
      <c r="AD353" s="112"/>
    </row>
    <row r="354" ht="15.75" customHeight="1">
      <c r="F354" s="115"/>
      <c r="G354" s="112"/>
      <c r="H354" s="112"/>
      <c r="I354" s="112"/>
      <c r="N354" s="112"/>
      <c r="R354" s="112"/>
      <c r="V354" s="112"/>
      <c r="Z354" s="112"/>
      <c r="AA354" s="112"/>
      <c r="AB354" s="112"/>
      <c r="AC354" s="112"/>
      <c r="AD354" s="112"/>
    </row>
    <row r="355" ht="15.75" customHeight="1">
      <c r="F355" s="115"/>
      <c r="G355" s="112"/>
      <c r="H355" s="112"/>
      <c r="I355" s="112"/>
      <c r="N355" s="112"/>
      <c r="R355" s="112"/>
      <c r="V355" s="112"/>
      <c r="Z355" s="112"/>
      <c r="AA355" s="112"/>
      <c r="AB355" s="112"/>
      <c r="AC355" s="112"/>
      <c r="AD355" s="112"/>
    </row>
    <row r="356" ht="15.75" customHeight="1">
      <c r="F356" s="115"/>
      <c r="G356" s="112"/>
      <c r="H356" s="112"/>
      <c r="I356" s="112"/>
      <c r="N356" s="112"/>
      <c r="R356" s="112"/>
      <c r="V356" s="112"/>
      <c r="Z356" s="112"/>
      <c r="AA356" s="112"/>
      <c r="AB356" s="112"/>
      <c r="AC356" s="112"/>
      <c r="AD356" s="112"/>
    </row>
    <row r="357" ht="15.75" customHeight="1">
      <c r="F357" s="115"/>
      <c r="G357" s="112"/>
      <c r="H357" s="112"/>
      <c r="I357" s="112"/>
      <c r="N357" s="112"/>
      <c r="R357" s="112"/>
      <c r="V357" s="112"/>
      <c r="Z357" s="112"/>
      <c r="AA357" s="112"/>
      <c r="AB357" s="112"/>
      <c r="AC357" s="112"/>
      <c r="AD357" s="112"/>
    </row>
    <row r="358" ht="15.75" customHeight="1">
      <c r="F358" s="115"/>
      <c r="G358" s="112"/>
      <c r="H358" s="112"/>
      <c r="I358" s="112"/>
      <c r="N358" s="112"/>
      <c r="R358" s="112"/>
      <c r="V358" s="112"/>
      <c r="Z358" s="112"/>
      <c r="AA358" s="112"/>
      <c r="AB358" s="112"/>
      <c r="AC358" s="112"/>
      <c r="AD358" s="112"/>
    </row>
    <row r="359" ht="15.75" customHeight="1">
      <c r="F359" s="115"/>
      <c r="G359" s="112"/>
      <c r="H359" s="112"/>
      <c r="I359" s="112"/>
      <c r="N359" s="112"/>
      <c r="R359" s="112"/>
      <c r="V359" s="112"/>
      <c r="Z359" s="112"/>
      <c r="AA359" s="112"/>
      <c r="AB359" s="112"/>
      <c r="AC359" s="112"/>
      <c r="AD359" s="112"/>
    </row>
    <row r="360" ht="15.75" customHeight="1">
      <c r="F360" s="115"/>
      <c r="G360" s="112"/>
      <c r="H360" s="112"/>
      <c r="I360" s="112"/>
      <c r="N360" s="112"/>
      <c r="R360" s="112"/>
      <c r="V360" s="112"/>
      <c r="Z360" s="112"/>
      <c r="AA360" s="112"/>
      <c r="AB360" s="112"/>
      <c r="AC360" s="112"/>
      <c r="AD360" s="112"/>
    </row>
    <row r="361" ht="15.75" customHeight="1">
      <c r="F361" s="115"/>
      <c r="G361" s="112"/>
      <c r="H361" s="112"/>
      <c r="I361" s="112"/>
      <c r="N361" s="112"/>
      <c r="R361" s="112"/>
      <c r="V361" s="112"/>
      <c r="Z361" s="112"/>
      <c r="AA361" s="112"/>
      <c r="AB361" s="112"/>
      <c r="AC361" s="112"/>
      <c r="AD361" s="112"/>
    </row>
    <row r="362" ht="15.75" customHeight="1">
      <c r="F362" s="115"/>
      <c r="G362" s="112"/>
      <c r="H362" s="112"/>
      <c r="I362" s="112"/>
      <c r="N362" s="112"/>
      <c r="R362" s="112"/>
      <c r="V362" s="112"/>
      <c r="Z362" s="112"/>
      <c r="AA362" s="112"/>
      <c r="AB362" s="112"/>
      <c r="AC362" s="112"/>
      <c r="AD362" s="112"/>
    </row>
    <row r="363" ht="15.75" customHeight="1">
      <c r="F363" s="115"/>
      <c r="G363" s="112"/>
      <c r="H363" s="112"/>
      <c r="I363" s="112"/>
      <c r="N363" s="112"/>
      <c r="R363" s="112"/>
      <c r="V363" s="112"/>
      <c r="Z363" s="112"/>
      <c r="AA363" s="112"/>
      <c r="AB363" s="112"/>
      <c r="AC363" s="112"/>
      <c r="AD363" s="112"/>
    </row>
    <row r="364" ht="15.75" customHeight="1">
      <c r="F364" s="115"/>
      <c r="G364" s="112"/>
      <c r="H364" s="112"/>
      <c r="I364" s="112"/>
      <c r="N364" s="112"/>
      <c r="R364" s="112"/>
      <c r="V364" s="112"/>
      <c r="Z364" s="112"/>
      <c r="AA364" s="112"/>
      <c r="AB364" s="112"/>
      <c r="AC364" s="112"/>
      <c r="AD364" s="112"/>
    </row>
    <row r="365" ht="15.75" customHeight="1">
      <c r="F365" s="115"/>
      <c r="G365" s="112"/>
      <c r="H365" s="112"/>
      <c r="I365" s="112"/>
      <c r="N365" s="112"/>
      <c r="R365" s="112"/>
      <c r="V365" s="112"/>
      <c r="Z365" s="112"/>
      <c r="AA365" s="112"/>
      <c r="AB365" s="112"/>
      <c r="AC365" s="112"/>
      <c r="AD365" s="112"/>
    </row>
    <row r="366" ht="15.75" customHeight="1">
      <c r="F366" s="115"/>
      <c r="G366" s="112"/>
      <c r="H366" s="112"/>
      <c r="I366" s="112"/>
      <c r="N366" s="112"/>
      <c r="R366" s="112"/>
      <c r="V366" s="112"/>
      <c r="Z366" s="112"/>
      <c r="AA366" s="112"/>
      <c r="AB366" s="112"/>
      <c r="AC366" s="112"/>
      <c r="AD366" s="112"/>
    </row>
    <row r="367" ht="15.75" customHeight="1">
      <c r="F367" s="115"/>
      <c r="G367" s="112"/>
      <c r="H367" s="112"/>
      <c r="I367" s="112"/>
      <c r="N367" s="112"/>
      <c r="R367" s="112"/>
      <c r="V367" s="112"/>
      <c r="Z367" s="112"/>
      <c r="AA367" s="112"/>
      <c r="AB367" s="112"/>
      <c r="AC367" s="112"/>
      <c r="AD367" s="112"/>
    </row>
    <row r="368" ht="15.75" customHeight="1">
      <c r="F368" s="115"/>
      <c r="G368" s="112"/>
      <c r="H368" s="112"/>
      <c r="I368" s="112"/>
      <c r="N368" s="112"/>
      <c r="R368" s="112"/>
      <c r="V368" s="112"/>
      <c r="Z368" s="112"/>
      <c r="AA368" s="112"/>
      <c r="AB368" s="112"/>
      <c r="AC368" s="112"/>
      <c r="AD368" s="112"/>
    </row>
    <row r="369" ht="15.75" customHeight="1">
      <c r="F369" s="115"/>
      <c r="G369" s="112"/>
      <c r="H369" s="112"/>
      <c r="I369" s="112"/>
      <c r="N369" s="112"/>
      <c r="R369" s="112"/>
      <c r="V369" s="112"/>
      <c r="Z369" s="112"/>
      <c r="AA369" s="112"/>
      <c r="AB369" s="112"/>
      <c r="AC369" s="112"/>
      <c r="AD369" s="112"/>
    </row>
    <row r="370" ht="15.75" customHeight="1">
      <c r="F370" s="115"/>
      <c r="G370" s="112"/>
      <c r="H370" s="112"/>
      <c r="I370" s="112"/>
      <c r="N370" s="112"/>
      <c r="R370" s="112"/>
      <c r="V370" s="112"/>
      <c r="Z370" s="112"/>
      <c r="AA370" s="112"/>
      <c r="AB370" s="112"/>
      <c r="AC370" s="112"/>
      <c r="AD370" s="112"/>
    </row>
    <row r="371" ht="15.75" customHeight="1">
      <c r="F371" s="115"/>
      <c r="G371" s="112"/>
      <c r="H371" s="112"/>
      <c r="I371" s="112"/>
      <c r="N371" s="112"/>
      <c r="R371" s="112"/>
      <c r="V371" s="112"/>
      <c r="Z371" s="112"/>
      <c r="AA371" s="112"/>
      <c r="AB371" s="112"/>
      <c r="AC371" s="112"/>
      <c r="AD371" s="112"/>
    </row>
    <row r="372" ht="15.75" customHeight="1">
      <c r="F372" s="115"/>
      <c r="G372" s="112"/>
      <c r="H372" s="112"/>
      <c r="I372" s="112"/>
      <c r="N372" s="112"/>
      <c r="R372" s="112"/>
      <c r="V372" s="112"/>
      <c r="Z372" s="112"/>
      <c r="AA372" s="112"/>
      <c r="AB372" s="112"/>
      <c r="AC372" s="112"/>
      <c r="AD372" s="112"/>
    </row>
    <row r="373" ht="15.75" customHeight="1">
      <c r="F373" s="115"/>
      <c r="G373" s="112"/>
      <c r="H373" s="112"/>
      <c r="I373" s="112"/>
      <c r="N373" s="112"/>
      <c r="R373" s="112"/>
      <c r="V373" s="112"/>
      <c r="Z373" s="112"/>
      <c r="AA373" s="112"/>
      <c r="AB373" s="112"/>
      <c r="AC373" s="112"/>
      <c r="AD373" s="112"/>
    </row>
    <row r="374" ht="15.75" customHeight="1">
      <c r="F374" s="115"/>
      <c r="G374" s="112"/>
      <c r="H374" s="112"/>
      <c r="I374" s="112"/>
      <c r="N374" s="112"/>
      <c r="R374" s="112"/>
      <c r="V374" s="112"/>
      <c r="Z374" s="112"/>
      <c r="AA374" s="112"/>
      <c r="AB374" s="112"/>
      <c r="AC374" s="112"/>
      <c r="AD374" s="112"/>
    </row>
    <row r="375" ht="15.75" customHeight="1">
      <c r="F375" s="115"/>
      <c r="G375" s="112"/>
      <c r="H375" s="112"/>
      <c r="I375" s="112"/>
      <c r="N375" s="112"/>
      <c r="R375" s="112"/>
      <c r="V375" s="112"/>
      <c r="Z375" s="112"/>
      <c r="AA375" s="112"/>
      <c r="AB375" s="112"/>
      <c r="AC375" s="112"/>
      <c r="AD375" s="112"/>
    </row>
    <row r="376" ht="15.75" customHeight="1">
      <c r="F376" s="115"/>
      <c r="G376" s="112"/>
      <c r="H376" s="112"/>
      <c r="I376" s="112"/>
      <c r="N376" s="112"/>
      <c r="R376" s="112"/>
      <c r="V376" s="112"/>
      <c r="Z376" s="112"/>
      <c r="AA376" s="112"/>
      <c r="AB376" s="112"/>
      <c r="AC376" s="112"/>
      <c r="AD376" s="112"/>
    </row>
    <row r="377" ht="15.75" customHeight="1">
      <c r="F377" s="115"/>
      <c r="G377" s="112"/>
      <c r="H377" s="112"/>
      <c r="I377" s="112"/>
      <c r="N377" s="112"/>
      <c r="R377" s="112"/>
      <c r="V377" s="112"/>
      <c r="Z377" s="112"/>
      <c r="AA377" s="112"/>
      <c r="AB377" s="112"/>
      <c r="AC377" s="112"/>
      <c r="AD377" s="112"/>
    </row>
    <row r="378" ht="15.75" customHeight="1">
      <c r="F378" s="115"/>
      <c r="G378" s="112"/>
      <c r="H378" s="112"/>
      <c r="I378" s="112"/>
      <c r="N378" s="112"/>
      <c r="R378" s="112"/>
      <c r="V378" s="112"/>
      <c r="Z378" s="112"/>
      <c r="AA378" s="112"/>
      <c r="AB378" s="112"/>
      <c r="AC378" s="112"/>
      <c r="AD378" s="112"/>
    </row>
    <row r="379" ht="15.75" customHeight="1">
      <c r="F379" s="115"/>
      <c r="G379" s="112"/>
      <c r="H379" s="112"/>
      <c r="I379" s="112"/>
      <c r="N379" s="112"/>
      <c r="R379" s="112"/>
      <c r="V379" s="112"/>
      <c r="Z379" s="112"/>
      <c r="AA379" s="112"/>
      <c r="AB379" s="112"/>
      <c r="AC379" s="112"/>
      <c r="AD379" s="112"/>
    </row>
    <row r="380" ht="15.75" customHeight="1">
      <c r="F380" s="115"/>
      <c r="G380" s="112"/>
      <c r="H380" s="112"/>
      <c r="I380" s="112"/>
      <c r="N380" s="112"/>
      <c r="R380" s="112"/>
      <c r="V380" s="112"/>
      <c r="Z380" s="112"/>
      <c r="AA380" s="112"/>
      <c r="AB380" s="112"/>
      <c r="AC380" s="112"/>
      <c r="AD380" s="112"/>
    </row>
    <row r="381" ht="15.75" customHeight="1">
      <c r="F381" s="115"/>
      <c r="G381" s="112"/>
      <c r="H381" s="112"/>
      <c r="I381" s="112"/>
      <c r="N381" s="112"/>
      <c r="R381" s="112"/>
      <c r="V381" s="112"/>
      <c r="Z381" s="112"/>
      <c r="AA381" s="112"/>
      <c r="AB381" s="112"/>
      <c r="AC381" s="112"/>
      <c r="AD381" s="112"/>
    </row>
    <row r="382" ht="15.75" customHeight="1">
      <c r="F382" s="115"/>
      <c r="G382" s="112"/>
      <c r="H382" s="112"/>
      <c r="I382" s="112"/>
      <c r="N382" s="112"/>
      <c r="R382" s="112"/>
      <c r="V382" s="112"/>
      <c r="Z382" s="112"/>
      <c r="AA382" s="112"/>
      <c r="AB382" s="112"/>
      <c r="AC382" s="112"/>
      <c r="AD382" s="112"/>
    </row>
    <row r="383" ht="15.75" customHeight="1">
      <c r="F383" s="115"/>
      <c r="G383" s="112"/>
      <c r="H383" s="112"/>
      <c r="I383" s="112"/>
      <c r="N383" s="112"/>
      <c r="R383" s="112"/>
      <c r="V383" s="112"/>
      <c r="Z383" s="112"/>
      <c r="AA383" s="112"/>
      <c r="AB383" s="112"/>
      <c r="AC383" s="112"/>
      <c r="AD383" s="112"/>
    </row>
    <row r="384" ht="15.75" customHeight="1">
      <c r="F384" s="115"/>
      <c r="G384" s="112"/>
      <c r="H384" s="112"/>
      <c r="I384" s="112"/>
      <c r="N384" s="112"/>
      <c r="R384" s="112"/>
      <c r="V384" s="112"/>
      <c r="Z384" s="112"/>
      <c r="AA384" s="112"/>
      <c r="AB384" s="112"/>
      <c r="AC384" s="112"/>
      <c r="AD384" s="112"/>
    </row>
    <row r="385" ht="15.75" customHeight="1">
      <c r="F385" s="115"/>
      <c r="G385" s="112"/>
      <c r="H385" s="112"/>
      <c r="I385" s="112"/>
      <c r="N385" s="112"/>
      <c r="R385" s="112"/>
      <c r="V385" s="112"/>
      <c r="Z385" s="112"/>
      <c r="AA385" s="112"/>
      <c r="AB385" s="112"/>
      <c r="AC385" s="112"/>
      <c r="AD385" s="112"/>
    </row>
    <row r="386" ht="15.75" customHeight="1">
      <c r="F386" s="115"/>
      <c r="G386" s="112"/>
      <c r="H386" s="112"/>
      <c r="I386" s="112"/>
      <c r="N386" s="112"/>
      <c r="R386" s="112"/>
      <c r="V386" s="112"/>
      <c r="Z386" s="112"/>
      <c r="AA386" s="112"/>
      <c r="AB386" s="112"/>
      <c r="AC386" s="112"/>
      <c r="AD386" s="112"/>
    </row>
    <row r="387" ht="15.75" customHeight="1">
      <c r="F387" s="115"/>
      <c r="G387" s="112"/>
      <c r="H387" s="112"/>
      <c r="I387" s="112"/>
      <c r="N387" s="112"/>
      <c r="R387" s="112"/>
      <c r="V387" s="112"/>
      <c r="Z387" s="112"/>
      <c r="AA387" s="112"/>
      <c r="AB387" s="112"/>
      <c r="AC387" s="112"/>
      <c r="AD387" s="112"/>
    </row>
    <row r="388" ht="15.75" customHeight="1">
      <c r="F388" s="115"/>
      <c r="G388" s="112"/>
      <c r="H388" s="112"/>
      <c r="I388" s="112"/>
      <c r="N388" s="112"/>
      <c r="R388" s="112"/>
      <c r="V388" s="112"/>
      <c r="Z388" s="112"/>
      <c r="AA388" s="112"/>
      <c r="AB388" s="112"/>
      <c r="AC388" s="112"/>
      <c r="AD388" s="112"/>
    </row>
    <row r="389" ht="15.75" customHeight="1">
      <c r="F389" s="115"/>
      <c r="G389" s="112"/>
      <c r="H389" s="112"/>
      <c r="I389" s="112"/>
      <c r="N389" s="112"/>
      <c r="R389" s="112"/>
      <c r="V389" s="112"/>
      <c r="Z389" s="112"/>
      <c r="AA389" s="112"/>
      <c r="AB389" s="112"/>
      <c r="AC389" s="112"/>
      <c r="AD389" s="112"/>
    </row>
    <row r="390" ht="15.75" customHeight="1">
      <c r="F390" s="115"/>
      <c r="G390" s="112"/>
      <c r="H390" s="112"/>
      <c r="I390" s="112"/>
      <c r="N390" s="112"/>
      <c r="R390" s="112"/>
      <c r="V390" s="112"/>
      <c r="Z390" s="112"/>
      <c r="AA390" s="112"/>
      <c r="AB390" s="112"/>
      <c r="AC390" s="112"/>
      <c r="AD390" s="112"/>
    </row>
    <row r="391" ht="15.75" customHeight="1">
      <c r="F391" s="115"/>
      <c r="G391" s="112"/>
      <c r="H391" s="112"/>
      <c r="I391" s="112"/>
      <c r="N391" s="112"/>
      <c r="R391" s="112"/>
      <c r="V391" s="112"/>
      <c r="Z391" s="112"/>
      <c r="AA391" s="112"/>
      <c r="AB391" s="112"/>
      <c r="AC391" s="112"/>
      <c r="AD391" s="112"/>
    </row>
    <row r="392" ht="15.75" customHeight="1">
      <c r="F392" s="115"/>
      <c r="G392" s="112"/>
      <c r="H392" s="112"/>
      <c r="I392" s="112"/>
      <c r="N392" s="112"/>
      <c r="R392" s="112"/>
      <c r="V392" s="112"/>
      <c r="Z392" s="112"/>
      <c r="AA392" s="112"/>
      <c r="AB392" s="112"/>
      <c r="AC392" s="112"/>
      <c r="AD392" s="112"/>
    </row>
    <row r="393" ht="15.75" customHeight="1">
      <c r="F393" s="115"/>
      <c r="G393" s="112"/>
      <c r="H393" s="112"/>
      <c r="I393" s="112"/>
      <c r="N393" s="112"/>
      <c r="R393" s="112"/>
      <c r="V393" s="112"/>
      <c r="Z393" s="112"/>
      <c r="AA393" s="112"/>
      <c r="AB393" s="112"/>
      <c r="AC393" s="112"/>
      <c r="AD393" s="112"/>
    </row>
    <row r="394" ht="15.75" customHeight="1">
      <c r="F394" s="115"/>
      <c r="G394" s="112"/>
      <c r="H394" s="112"/>
      <c r="I394" s="112"/>
      <c r="N394" s="112"/>
      <c r="R394" s="112"/>
      <c r="V394" s="112"/>
      <c r="Z394" s="112"/>
      <c r="AA394" s="112"/>
      <c r="AB394" s="112"/>
      <c r="AC394" s="112"/>
      <c r="AD394" s="112"/>
    </row>
    <row r="395" ht="15.75" customHeight="1">
      <c r="F395" s="115"/>
      <c r="G395" s="112"/>
      <c r="H395" s="112"/>
      <c r="I395" s="112"/>
      <c r="N395" s="112"/>
      <c r="R395" s="112"/>
      <c r="V395" s="112"/>
      <c r="Z395" s="112"/>
      <c r="AA395" s="112"/>
      <c r="AB395" s="112"/>
      <c r="AC395" s="112"/>
      <c r="AD395" s="112"/>
    </row>
    <row r="396" ht="15.75" customHeight="1">
      <c r="F396" s="115"/>
      <c r="G396" s="112"/>
      <c r="H396" s="112"/>
      <c r="I396" s="112"/>
      <c r="N396" s="112"/>
      <c r="R396" s="112"/>
      <c r="V396" s="112"/>
      <c r="Z396" s="112"/>
      <c r="AA396" s="112"/>
      <c r="AB396" s="112"/>
      <c r="AC396" s="112"/>
      <c r="AD396" s="112"/>
    </row>
    <row r="397" ht="15.75" customHeight="1">
      <c r="F397" s="115"/>
      <c r="G397" s="112"/>
      <c r="H397" s="112"/>
      <c r="I397" s="112"/>
      <c r="N397" s="112"/>
      <c r="R397" s="112"/>
      <c r="V397" s="112"/>
      <c r="Z397" s="112"/>
      <c r="AA397" s="112"/>
      <c r="AB397" s="112"/>
      <c r="AC397" s="112"/>
      <c r="AD397" s="112"/>
    </row>
    <row r="398" ht="15.75" customHeight="1">
      <c r="F398" s="115"/>
      <c r="G398" s="112"/>
      <c r="H398" s="112"/>
      <c r="I398" s="112"/>
      <c r="N398" s="112"/>
      <c r="R398" s="112"/>
      <c r="V398" s="112"/>
      <c r="Z398" s="112"/>
      <c r="AA398" s="112"/>
      <c r="AB398" s="112"/>
      <c r="AC398" s="112"/>
      <c r="AD398" s="112"/>
    </row>
    <row r="399" ht="15.75" customHeight="1">
      <c r="F399" s="115"/>
      <c r="G399" s="112"/>
      <c r="H399" s="112"/>
      <c r="I399" s="112"/>
      <c r="N399" s="112"/>
      <c r="R399" s="112"/>
      <c r="V399" s="112"/>
      <c r="Z399" s="112"/>
      <c r="AA399" s="112"/>
      <c r="AB399" s="112"/>
      <c r="AC399" s="112"/>
      <c r="AD399" s="112"/>
    </row>
    <row r="400" ht="15.75" customHeight="1">
      <c r="F400" s="115"/>
      <c r="G400" s="112"/>
      <c r="H400" s="112"/>
      <c r="I400" s="112"/>
      <c r="N400" s="112"/>
      <c r="R400" s="112"/>
      <c r="V400" s="112"/>
      <c r="Z400" s="112"/>
      <c r="AA400" s="112"/>
      <c r="AB400" s="112"/>
      <c r="AC400" s="112"/>
      <c r="AD400" s="112"/>
    </row>
    <row r="401" ht="15.75" customHeight="1">
      <c r="F401" s="115"/>
      <c r="G401" s="112"/>
      <c r="H401" s="112"/>
      <c r="I401" s="112"/>
      <c r="N401" s="112"/>
      <c r="R401" s="112"/>
      <c r="V401" s="112"/>
      <c r="Z401" s="112"/>
      <c r="AA401" s="112"/>
      <c r="AB401" s="112"/>
      <c r="AC401" s="112"/>
      <c r="AD401" s="112"/>
    </row>
    <row r="402" ht="15.75" customHeight="1">
      <c r="F402" s="115"/>
      <c r="G402" s="112"/>
      <c r="H402" s="112"/>
      <c r="I402" s="112"/>
      <c r="N402" s="112"/>
      <c r="R402" s="112"/>
      <c r="V402" s="112"/>
      <c r="Z402" s="112"/>
      <c r="AA402" s="112"/>
      <c r="AB402" s="112"/>
      <c r="AC402" s="112"/>
      <c r="AD402" s="112"/>
    </row>
    <row r="403" ht="15.75" customHeight="1">
      <c r="F403" s="115"/>
      <c r="G403" s="112"/>
      <c r="H403" s="112"/>
      <c r="I403" s="112"/>
      <c r="N403" s="112"/>
      <c r="R403" s="112"/>
      <c r="V403" s="112"/>
      <c r="Z403" s="112"/>
      <c r="AA403" s="112"/>
      <c r="AB403" s="112"/>
      <c r="AC403" s="112"/>
      <c r="AD403" s="112"/>
    </row>
    <row r="404" ht="15.75" customHeight="1">
      <c r="F404" s="115"/>
      <c r="G404" s="112"/>
      <c r="H404" s="112"/>
      <c r="I404" s="112"/>
      <c r="N404" s="112"/>
      <c r="R404" s="112"/>
      <c r="V404" s="112"/>
      <c r="Z404" s="112"/>
      <c r="AA404" s="112"/>
      <c r="AB404" s="112"/>
      <c r="AC404" s="112"/>
      <c r="AD404" s="112"/>
    </row>
    <row r="405" ht="15.75" customHeight="1">
      <c r="F405" s="115"/>
      <c r="G405" s="112"/>
      <c r="H405" s="112"/>
      <c r="I405" s="112"/>
      <c r="N405" s="112"/>
      <c r="R405" s="112"/>
      <c r="V405" s="112"/>
      <c r="Z405" s="112"/>
      <c r="AA405" s="112"/>
      <c r="AB405" s="112"/>
      <c r="AC405" s="112"/>
      <c r="AD405" s="112"/>
    </row>
    <row r="406" ht="15.75" customHeight="1">
      <c r="F406" s="115"/>
      <c r="G406" s="112"/>
      <c r="H406" s="112"/>
      <c r="I406" s="112"/>
      <c r="N406" s="112"/>
      <c r="R406" s="112"/>
      <c r="V406" s="112"/>
      <c r="Z406" s="112"/>
      <c r="AA406" s="112"/>
      <c r="AB406" s="112"/>
      <c r="AC406" s="112"/>
      <c r="AD406" s="112"/>
    </row>
    <row r="407" ht="15.75" customHeight="1">
      <c r="F407" s="115"/>
      <c r="G407" s="112"/>
      <c r="H407" s="112"/>
      <c r="I407" s="112"/>
      <c r="N407" s="112"/>
      <c r="R407" s="112"/>
      <c r="V407" s="112"/>
      <c r="Z407" s="112"/>
      <c r="AA407" s="112"/>
      <c r="AB407" s="112"/>
      <c r="AC407" s="112"/>
      <c r="AD407" s="112"/>
    </row>
    <row r="408" ht="15.75" customHeight="1">
      <c r="F408" s="115"/>
      <c r="G408" s="112"/>
      <c r="H408" s="112"/>
      <c r="I408" s="112"/>
      <c r="N408" s="112"/>
      <c r="R408" s="112"/>
      <c r="V408" s="112"/>
      <c r="Z408" s="112"/>
      <c r="AA408" s="112"/>
      <c r="AB408" s="112"/>
      <c r="AC408" s="112"/>
      <c r="AD408" s="112"/>
    </row>
    <row r="409" ht="15.75" customHeight="1">
      <c r="F409" s="115"/>
      <c r="G409" s="112"/>
      <c r="H409" s="112"/>
      <c r="I409" s="112"/>
      <c r="N409" s="112"/>
      <c r="R409" s="112"/>
      <c r="V409" s="112"/>
      <c r="Z409" s="112"/>
      <c r="AA409" s="112"/>
      <c r="AB409" s="112"/>
      <c r="AC409" s="112"/>
      <c r="AD409" s="112"/>
    </row>
    <row r="410" ht="15.75" customHeight="1">
      <c r="F410" s="115"/>
      <c r="G410" s="112"/>
      <c r="H410" s="112"/>
      <c r="I410" s="112"/>
      <c r="N410" s="112"/>
      <c r="R410" s="112"/>
      <c r="V410" s="112"/>
      <c r="Z410" s="112"/>
      <c r="AA410" s="112"/>
      <c r="AB410" s="112"/>
      <c r="AC410" s="112"/>
      <c r="AD410" s="112"/>
    </row>
    <row r="411" ht="15.75" customHeight="1">
      <c r="F411" s="115"/>
      <c r="G411" s="112"/>
      <c r="H411" s="112"/>
      <c r="I411" s="112"/>
      <c r="N411" s="112"/>
      <c r="R411" s="112"/>
      <c r="V411" s="112"/>
      <c r="Z411" s="112"/>
      <c r="AA411" s="112"/>
      <c r="AB411" s="112"/>
      <c r="AC411" s="112"/>
      <c r="AD411" s="112"/>
    </row>
    <row r="412" ht="15.75" customHeight="1">
      <c r="F412" s="115"/>
      <c r="G412" s="112"/>
      <c r="H412" s="112"/>
      <c r="I412" s="112"/>
      <c r="N412" s="112"/>
      <c r="R412" s="112"/>
      <c r="V412" s="112"/>
      <c r="Z412" s="112"/>
      <c r="AA412" s="112"/>
      <c r="AB412" s="112"/>
      <c r="AC412" s="112"/>
      <c r="AD412" s="112"/>
    </row>
    <row r="413" ht="15.75" customHeight="1">
      <c r="F413" s="115"/>
      <c r="G413" s="112"/>
      <c r="H413" s="112"/>
      <c r="I413" s="112"/>
      <c r="N413" s="112"/>
      <c r="R413" s="112"/>
      <c r="V413" s="112"/>
      <c r="Z413" s="112"/>
      <c r="AA413" s="112"/>
      <c r="AB413" s="112"/>
      <c r="AC413" s="112"/>
      <c r="AD413" s="112"/>
    </row>
    <row r="414" ht="15.75" customHeight="1">
      <c r="F414" s="115"/>
      <c r="G414" s="112"/>
      <c r="H414" s="112"/>
      <c r="I414" s="112"/>
      <c r="N414" s="112"/>
      <c r="R414" s="112"/>
      <c r="V414" s="112"/>
      <c r="Z414" s="112"/>
      <c r="AA414" s="112"/>
      <c r="AB414" s="112"/>
      <c r="AC414" s="112"/>
      <c r="AD414" s="112"/>
    </row>
    <row r="415" ht="15.75" customHeight="1">
      <c r="F415" s="115"/>
      <c r="G415" s="112"/>
      <c r="H415" s="112"/>
      <c r="I415" s="112"/>
      <c r="N415" s="112"/>
      <c r="R415" s="112"/>
      <c r="V415" s="112"/>
      <c r="Z415" s="112"/>
      <c r="AA415" s="112"/>
      <c r="AB415" s="112"/>
      <c r="AC415" s="112"/>
      <c r="AD415" s="112"/>
    </row>
    <row r="416" ht="15.75" customHeight="1">
      <c r="F416" s="115"/>
      <c r="G416" s="112"/>
      <c r="H416" s="112"/>
      <c r="I416" s="112"/>
      <c r="N416" s="112"/>
      <c r="R416" s="112"/>
      <c r="V416" s="112"/>
      <c r="Z416" s="112"/>
      <c r="AA416" s="112"/>
      <c r="AB416" s="112"/>
      <c r="AC416" s="112"/>
      <c r="AD416" s="112"/>
    </row>
    <row r="417" ht="15.75" customHeight="1">
      <c r="F417" s="115"/>
      <c r="G417" s="112"/>
      <c r="H417" s="112"/>
      <c r="I417" s="112"/>
      <c r="N417" s="112"/>
      <c r="R417" s="112"/>
      <c r="V417" s="112"/>
      <c r="Z417" s="112"/>
      <c r="AA417" s="112"/>
      <c r="AB417" s="112"/>
      <c r="AC417" s="112"/>
      <c r="AD417" s="112"/>
    </row>
    <row r="418" ht="15.75" customHeight="1">
      <c r="F418" s="115"/>
      <c r="G418" s="112"/>
      <c r="H418" s="112"/>
      <c r="I418" s="112"/>
      <c r="N418" s="112"/>
      <c r="R418" s="112"/>
      <c r="V418" s="112"/>
      <c r="Z418" s="112"/>
      <c r="AA418" s="112"/>
      <c r="AB418" s="112"/>
      <c r="AC418" s="112"/>
      <c r="AD418" s="112"/>
    </row>
    <row r="419" ht="15.75" customHeight="1">
      <c r="F419" s="115"/>
      <c r="G419" s="112"/>
      <c r="H419" s="112"/>
      <c r="I419" s="112"/>
      <c r="N419" s="112"/>
      <c r="R419" s="112"/>
      <c r="V419" s="112"/>
      <c r="Z419" s="112"/>
      <c r="AA419" s="112"/>
      <c r="AB419" s="112"/>
      <c r="AC419" s="112"/>
      <c r="AD419" s="112"/>
    </row>
    <row r="420" ht="15.75" customHeight="1">
      <c r="F420" s="115"/>
      <c r="G420" s="112"/>
      <c r="H420" s="112"/>
      <c r="I420" s="112"/>
      <c r="N420" s="112"/>
      <c r="R420" s="112"/>
      <c r="V420" s="112"/>
      <c r="Z420" s="112"/>
      <c r="AA420" s="112"/>
      <c r="AB420" s="112"/>
      <c r="AC420" s="112"/>
      <c r="AD420" s="112"/>
    </row>
    <row r="421" ht="15.75" customHeight="1">
      <c r="F421" s="115"/>
      <c r="G421" s="112"/>
      <c r="H421" s="112"/>
      <c r="I421" s="112"/>
      <c r="N421" s="112"/>
      <c r="R421" s="112"/>
      <c r="V421" s="112"/>
      <c r="Z421" s="112"/>
      <c r="AA421" s="112"/>
      <c r="AB421" s="112"/>
      <c r="AC421" s="112"/>
      <c r="AD421" s="112"/>
    </row>
    <row r="422" ht="15.75" customHeight="1">
      <c r="F422" s="115"/>
      <c r="G422" s="112"/>
      <c r="H422" s="112"/>
      <c r="I422" s="112"/>
      <c r="N422" s="112"/>
      <c r="R422" s="112"/>
      <c r="V422" s="112"/>
      <c r="Z422" s="112"/>
      <c r="AA422" s="112"/>
      <c r="AB422" s="112"/>
      <c r="AC422" s="112"/>
      <c r="AD422" s="112"/>
    </row>
    <row r="423" ht="15.75" customHeight="1">
      <c r="F423" s="115"/>
      <c r="G423" s="112"/>
      <c r="H423" s="112"/>
      <c r="I423" s="112"/>
      <c r="N423" s="112"/>
      <c r="R423" s="112"/>
      <c r="V423" s="112"/>
      <c r="Z423" s="112"/>
      <c r="AA423" s="112"/>
      <c r="AB423" s="112"/>
      <c r="AC423" s="112"/>
      <c r="AD423" s="112"/>
    </row>
    <row r="424" ht="15.75" customHeight="1">
      <c r="F424" s="115"/>
      <c r="G424" s="112"/>
      <c r="H424" s="112"/>
      <c r="I424" s="112"/>
      <c r="N424" s="112"/>
      <c r="R424" s="112"/>
      <c r="V424" s="112"/>
      <c r="Z424" s="112"/>
      <c r="AA424" s="112"/>
      <c r="AB424" s="112"/>
      <c r="AC424" s="112"/>
      <c r="AD424" s="112"/>
    </row>
    <row r="425" ht="15.75" customHeight="1">
      <c r="F425" s="115"/>
      <c r="G425" s="112"/>
      <c r="H425" s="112"/>
      <c r="I425" s="112"/>
      <c r="N425" s="112"/>
      <c r="R425" s="112"/>
      <c r="V425" s="112"/>
      <c r="Z425" s="112"/>
      <c r="AA425" s="112"/>
      <c r="AB425" s="112"/>
      <c r="AC425" s="112"/>
      <c r="AD425" s="112"/>
    </row>
    <row r="426" ht="15.75" customHeight="1">
      <c r="F426" s="115"/>
      <c r="G426" s="112"/>
      <c r="H426" s="112"/>
      <c r="I426" s="112"/>
      <c r="N426" s="112"/>
      <c r="R426" s="112"/>
      <c r="V426" s="112"/>
      <c r="Z426" s="112"/>
      <c r="AA426" s="112"/>
      <c r="AB426" s="112"/>
      <c r="AC426" s="112"/>
      <c r="AD426" s="112"/>
    </row>
    <row r="427" ht="15.75" customHeight="1">
      <c r="F427" s="115"/>
      <c r="G427" s="112"/>
      <c r="H427" s="112"/>
      <c r="I427" s="112"/>
      <c r="N427" s="112"/>
      <c r="R427" s="112"/>
      <c r="V427" s="112"/>
      <c r="Z427" s="112"/>
      <c r="AA427" s="112"/>
      <c r="AB427" s="112"/>
      <c r="AC427" s="112"/>
      <c r="AD427" s="112"/>
    </row>
    <row r="428" ht="15.75" customHeight="1">
      <c r="F428" s="115"/>
      <c r="G428" s="112"/>
      <c r="H428" s="112"/>
      <c r="I428" s="112"/>
      <c r="N428" s="112"/>
      <c r="R428" s="112"/>
      <c r="V428" s="112"/>
      <c r="Z428" s="112"/>
      <c r="AA428" s="112"/>
      <c r="AB428" s="112"/>
      <c r="AC428" s="112"/>
      <c r="AD428" s="112"/>
    </row>
    <row r="429" ht="15.75" customHeight="1">
      <c r="F429" s="115"/>
      <c r="G429" s="112"/>
      <c r="H429" s="112"/>
      <c r="I429" s="112"/>
      <c r="N429" s="112"/>
      <c r="R429" s="112"/>
      <c r="V429" s="112"/>
      <c r="Z429" s="112"/>
      <c r="AA429" s="112"/>
      <c r="AB429" s="112"/>
      <c r="AC429" s="112"/>
      <c r="AD429" s="112"/>
    </row>
    <row r="430" ht="15.75" customHeight="1">
      <c r="F430" s="115"/>
      <c r="G430" s="112"/>
      <c r="H430" s="112"/>
      <c r="I430" s="112"/>
      <c r="N430" s="112"/>
      <c r="R430" s="112"/>
      <c r="V430" s="112"/>
      <c r="Z430" s="112"/>
      <c r="AA430" s="112"/>
      <c r="AB430" s="112"/>
      <c r="AC430" s="112"/>
      <c r="AD430" s="112"/>
    </row>
    <row r="431" ht="15.75" customHeight="1">
      <c r="F431" s="115"/>
      <c r="G431" s="112"/>
      <c r="H431" s="112"/>
      <c r="I431" s="112"/>
      <c r="N431" s="112"/>
      <c r="R431" s="112"/>
      <c r="V431" s="112"/>
      <c r="Z431" s="112"/>
      <c r="AA431" s="112"/>
      <c r="AB431" s="112"/>
      <c r="AC431" s="112"/>
      <c r="AD431" s="112"/>
    </row>
    <row r="432" ht="15.75" customHeight="1">
      <c r="F432" s="115"/>
      <c r="G432" s="112"/>
      <c r="H432" s="112"/>
      <c r="I432" s="112"/>
      <c r="N432" s="112"/>
      <c r="R432" s="112"/>
      <c r="V432" s="112"/>
      <c r="Z432" s="112"/>
      <c r="AA432" s="112"/>
      <c r="AB432" s="112"/>
      <c r="AC432" s="112"/>
      <c r="AD432" s="112"/>
    </row>
    <row r="433" ht="15.75" customHeight="1">
      <c r="F433" s="115"/>
      <c r="G433" s="112"/>
      <c r="H433" s="112"/>
      <c r="I433" s="112"/>
      <c r="N433" s="112"/>
      <c r="R433" s="112"/>
      <c r="V433" s="112"/>
      <c r="Z433" s="112"/>
      <c r="AA433" s="112"/>
      <c r="AB433" s="112"/>
      <c r="AC433" s="112"/>
      <c r="AD433" s="112"/>
    </row>
    <row r="434" ht="15.75" customHeight="1">
      <c r="F434" s="115"/>
      <c r="G434" s="112"/>
      <c r="H434" s="112"/>
      <c r="I434" s="112"/>
      <c r="N434" s="112"/>
      <c r="R434" s="112"/>
      <c r="V434" s="112"/>
      <c r="Z434" s="112"/>
      <c r="AA434" s="112"/>
      <c r="AB434" s="112"/>
      <c r="AC434" s="112"/>
      <c r="AD434" s="112"/>
    </row>
    <row r="435" ht="15.75" customHeight="1">
      <c r="F435" s="115"/>
      <c r="G435" s="112"/>
      <c r="H435" s="112"/>
      <c r="I435" s="112"/>
      <c r="N435" s="112"/>
      <c r="R435" s="112"/>
      <c r="V435" s="112"/>
      <c r="Z435" s="112"/>
      <c r="AA435" s="112"/>
      <c r="AB435" s="112"/>
      <c r="AC435" s="112"/>
      <c r="AD435" s="112"/>
    </row>
    <row r="436" ht="15.75" customHeight="1">
      <c r="F436" s="115"/>
      <c r="G436" s="112"/>
      <c r="H436" s="112"/>
      <c r="I436" s="112"/>
      <c r="N436" s="112"/>
      <c r="R436" s="112"/>
      <c r="V436" s="112"/>
      <c r="Z436" s="112"/>
      <c r="AA436" s="112"/>
      <c r="AB436" s="112"/>
      <c r="AC436" s="112"/>
      <c r="AD436" s="112"/>
    </row>
    <row r="437" ht="15.75" customHeight="1">
      <c r="F437" s="115"/>
      <c r="G437" s="112"/>
      <c r="H437" s="112"/>
      <c r="I437" s="112"/>
      <c r="N437" s="112"/>
      <c r="R437" s="112"/>
      <c r="V437" s="112"/>
      <c r="Z437" s="112"/>
      <c r="AA437" s="112"/>
      <c r="AB437" s="112"/>
      <c r="AC437" s="112"/>
      <c r="AD437" s="112"/>
    </row>
    <row r="438" ht="15.75" customHeight="1">
      <c r="F438" s="115"/>
      <c r="G438" s="112"/>
      <c r="H438" s="112"/>
      <c r="I438" s="112"/>
      <c r="N438" s="112"/>
      <c r="R438" s="112"/>
      <c r="V438" s="112"/>
      <c r="Z438" s="112"/>
      <c r="AA438" s="112"/>
      <c r="AB438" s="112"/>
      <c r="AC438" s="112"/>
      <c r="AD438" s="112"/>
    </row>
    <row r="439" ht="15.75" customHeight="1">
      <c r="F439" s="115"/>
      <c r="G439" s="112"/>
      <c r="H439" s="112"/>
      <c r="I439" s="112"/>
      <c r="N439" s="112"/>
      <c r="R439" s="112"/>
      <c r="V439" s="112"/>
      <c r="Z439" s="112"/>
      <c r="AA439" s="112"/>
      <c r="AB439" s="112"/>
      <c r="AC439" s="112"/>
      <c r="AD439" s="112"/>
    </row>
    <row r="440" ht="15.75" customHeight="1">
      <c r="F440" s="115"/>
      <c r="G440" s="112"/>
      <c r="H440" s="112"/>
      <c r="I440" s="112"/>
      <c r="N440" s="112"/>
      <c r="R440" s="112"/>
      <c r="V440" s="112"/>
      <c r="Z440" s="112"/>
      <c r="AA440" s="112"/>
      <c r="AB440" s="112"/>
      <c r="AC440" s="112"/>
      <c r="AD440" s="112"/>
    </row>
    <row r="441" ht="15.75" customHeight="1">
      <c r="F441" s="115"/>
      <c r="G441" s="112"/>
      <c r="H441" s="112"/>
      <c r="I441" s="112"/>
      <c r="N441" s="112"/>
      <c r="R441" s="112"/>
      <c r="V441" s="112"/>
      <c r="Z441" s="112"/>
      <c r="AA441" s="112"/>
      <c r="AB441" s="112"/>
      <c r="AC441" s="112"/>
      <c r="AD441" s="112"/>
    </row>
    <row r="442" ht="15.75" customHeight="1">
      <c r="F442" s="115"/>
      <c r="G442" s="112"/>
      <c r="H442" s="112"/>
      <c r="I442" s="112"/>
      <c r="N442" s="112"/>
      <c r="R442" s="112"/>
      <c r="V442" s="112"/>
      <c r="Z442" s="112"/>
      <c r="AA442" s="112"/>
      <c r="AB442" s="112"/>
      <c r="AC442" s="112"/>
      <c r="AD442" s="112"/>
    </row>
    <row r="443" ht="15.75" customHeight="1">
      <c r="F443" s="115"/>
      <c r="G443" s="112"/>
      <c r="H443" s="112"/>
      <c r="I443" s="112"/>
      <c r="N443" s="112"/>
      <c r="R443" s="112"/>
      <c r="V443" s="112"/>
      <c r="Z443" s="112"/>
      <c r="AA443" s="112"/>
      <c r="AB443" s="112"/>
      <c r="AC443" s="112"/>
      <c r="AD443" s="112"/>
    </row>
    <row r="444" ht="15.75" customHeight="1">
      <c r="F444" s="115"/>
      <c r="G444" s="112"/>
      <c r="H444" s="112"/>
      <c r="I444" s="112"/>
      <c r="N444" s="112"/>
      <c r="R444" s="112"/>
      <c r="V444" s="112"/>
      <c r="Z444" s="112"/>
      <c r="AA444" s="112"/>
      <c r="AB444" s="112"/>
      <c r="AC444" s="112"/>
      <c r="AD444" s="112"/>
    </row>
    <row r="445" ht="15.75" customHeight="1">
      <c r="F445" s="115"/>
      <c r="G445" s="112"/>
      <c r="H445" s="112"/>
      <c r="I445" s="112"/>
      <c r="N445" s="112"/>
      <c r="R445" s="112"/>
      <c r="V445" s="112"/>
      <c r="Z445" s="112"/>
      <c r="AA445" s="112"/>
      <c r="AB445" s="112"/>
      <c r="AC445" s="112"/>
      <c r="AD445" s="112"/>
    </row>
    <row r="446" ht="15.75" customHeight="1">
      <c r="F446" s="115"/>
      <c r="G446" s="112"/>
      <c r="H446" s="112"/>
      <c r="I446" s="112"/>
      <c r="N446" s="112"/>
      <c r="R446" s="112"/>
      <c r="V446" s="112"/>
      <c r="Z446" s="112"/>
      <c r="AA446" s="112"/>
      <c r="AB446" s="112"/>
      <c r="AC446" s="112"/>
      <c r="AD446" s="112"/>
    </row>
    <row r="447" ht="15.75" customHeight="1">
      <c r="F447" s="115"/>
      <c r="G447" s="112"/>
      <c r="H447" s="112"/>
      <c r="I447" s="112"/>
      <c r="N447" s="112"/>
      <c r="R447" s="112"/>
      <c r="V447" s="112"/>
      <c r="Z447" s="112"/>
      <c r="AA447" s="112"/>
      <c r="AB447" s="112"/>
      <c r="AC447" s="112"/>
      <c r="AD447" s="112"/>
    </row>
    <row r="448" ht="15.75" customHeight="1">
      <c r="F448" s="115"/>
      <c r="G448" s="112"/>
      <c r="H448" s="112"/>
      <c r="I448" s="112"/>
      <c r="N448" s="112"/>
      <c r="R448" s="112"/>
      <c r="V448" s="112"/>
      <c r="Z448" s="112"/>
      <c r="AA448" s="112"/>
      <c r="AB448" s="112"/>
      <c r="AC448" s="112"/>
      <c r="AD448" s="112"/>
    </row>
    <row r="449" ht="15.75" customHeight="1">
      <c r="F449" s="115"/>
      <c r="G449" s="112"/>
      <c r="H449" s="112"/>
      <c r="I449" s="112"/>
      <c r="N449" s="112"/>
      <c r="R449" s="112"/>
      <c r="V449" s="112"/>
      <c r="Z449" s="112"/>
      <c r="AA449" s="112"/>
      <c r="AB449" s="112"/>
      <c r="AC449" s="112"/>
      <c r="AD449" s="112"/>
    </row>
    <row r="450" ht="15.75" customHeight="1">
      <c r="F450" s="115"/>
      <c r="G450" s="112"/>
      <c r="H450" s="112"/>
      <c r="I450" s="112"/>
      <c r="N450" s="112"/>
      <c r="R450" s="112"/>
      <c r="V450" s="112"/>
      <c r="Z450" s="112"/>
      <c r="AA450" s="112"/>
      <c r="AB450" s="112"/>
      <c r="AC450" s="112"/>
      <c r="AD450" s="112"/>
    </row>
    <row r="451" ht="15.75" customHeight="1">
      <c r="F451" s="115"/>
      <c r="G451" s="112"/>
      <c r="H451" s="112"/>
      <c r="I451" s="112"/>
      <c r="N451" s="112"/>
      <c r="R451" s="112"/>
      <c r="V451" s="112"/>
      <c r="Z451" s="112"/>
      <c r="AA451" s="112"/>
      <c r="AB451" s="112"/>
      <c r="AC451" s="112"/>
      <c r="AD451" s="112"/>
    </row>
    <row r="452" ht="15.75" customHeight="1">
      <c r="F452" s="115"/>
      <c r="G452" s="112"/>
      <c r="H452" s="112"/>
      <c r="I452" s="112"/>
      <c r="N452" s="112"/>
      <c r="R452" s="112"/>
      <c r="V452" s="112"/>
      <c r="Z452" s="112"/>
      <c r="AA452" s="112"/>
      <c r="AB452" s="112"/>
      <c r="AC452" s="112"/>
      <c r="AD452" s="112"/>
    </row>
    <row r="453" ht="15.75" customHeight="1">
      <c r="F453" s="115"/>
      <c r="G453" s="112"/>
      <c r="H453" s="112"/>
      <c r="I453" s="112"/>
      <c r="N453" s="112"/>
      <c r="R453" s="112"/>
      <c r="V453" s="112"/>
      <c r="Z453" s="112"/>
      <c r="AA453" s="112"/>
      <c r="AB453" s="112"/>
      <c r="AC453" s="112"/>
      <c r="AD453" s="112"/>
    </row>
    <row r="454" ht="15.75" customHeight="1">
      <c r="F454" s="115"/>
      <c r="G454" s="112"/>
      <c r="H454" s="112"/>
      <c r="I454" s="112"/>
      <c r="N454" s="112"/>
      <c r="R454" s="112"/>
      <c r="V454" s="112"/>
      <c r="Z454" s="112"/>
      <c r="AA454" s="112"/>
      <c r="AB454" s="112"/>
      <c r="AC454" s="112"/>
      <c r="AD454" s="112"/>
    </row>
    <row r="455" ht="15.75" customHeight="1">
      <c r="F455" s="115"/>
      <c r="G455" s="112"/>
      <c r="H455" s="112"/>
      <c r="I455" s="112"/>
      <c r="N455" s="112"/>
      <c r="R455" s="112"/>
      <c r="V455" s="112"/>
      <c r="Z455" s="112"/>
      <c r="AA455" s="112"/>
      <c r="AB455" s="112"/>
      <c r="AC455" s="112"/>
      <c r="AD455" s="112"/>
    </row>
    <row r="456" ht="15.75" customHeight="1">
      <c r="F456" s="115"/>
      <c r="G456" s="112"/>
      <c r="H456" s="112"/>
      <c r="I456" s="112"/>
      <c r="N456" s="112"/>
      <c r="R456" s="112"/>
      <c r="V456" s="112"/>
      <c r="Z456" s="112"/>
      <c r="AA456" s="112"/>
      <c r="AB456" s="112"/>
      <c r="AC456" s="112"/>
      <c r="AD456" s="112"/>
    </row>
    <row r="457" ht="15.75" customHeight="1">
      <c r="F457" s="115"/>
      <c r="G457" s="112"/>
      <c r="H457" s="112"/>
      <c r="I457" s="112"/>
      <c r="N457" s="112"/>
      <c r="R457" s="112"/>
      <c r="V457" s="112"/>
      <c r="Z457" s="112"/>
      <c r="AA457" s="112"/>
      <c r="AB457" s="112"/>
      <c r="AC457" s="112"/>
      <c r="AD457" s="112"/>
    </row>
    <row r="458" ht="15.75" customHeight="1">
      <c r="F458" s="115"/>
      <c r="G458" s="112"/>
      <c r="H458" s="112"/>
      <c r="I458" s="112"/>
      <c r="N458" s="112"/>
      <c r="R458" s="112"/>
      <c r="V458" s="112"/>
      <c r="Z458" s="112"/>
      <c r="AA458" s="112"/>
      <c r="AB458" s="112"/>
      <c r="AC458" s="112"/>
      <c r="AD458" s="112"/>
    </row>
    <row r="459" ht="15.75" customHeight="1">
      <c r="F459" s="115"/>
      <c r="G459" s="112"/>
      <c r="H459" s="112"/>
      <c r="I459" s="112"/>
      <c r="N459" s="112"/>
      <c r="R459" s="112"/>
      <c r="V459" s="112"/>
      <c r="Z459" s="112"/>
      <c r="AA459" s="112"/>
      <c r="AB459" s="112"/>
      <c r="AC459" s="112"/>
      <c r="AD459" s="112"/>
    </row>
    <row r="460" ht="15.75" customHeight="1">
      <c r="F460" s="115"/>
      <c r="G460" s="112"/>
      <c r="H460" s="112"/>
      <c r="I460" s="112"/>
      <c r="N460" s="112"/>
      <c r="R460" s="112"/>
      <c r="V460" s="112"/>
      <c r="Z460" s="112"/>
      <c r="AA460" s="112"/>
      <c r="AB460" s="112"/>
      <c r="AC460" s="112"/>
      <c r="AD460" s="112"/>
    </row>
    <row r="461" ht="15.75" customHeight="1">
      <c r="F461" s="115"/>
      <c r="G461" s="112"/>
      <c r="H461" s="112"/>
      <c r="I461" s="112"/>
      <c r="N461" s="112"/>
      <c r="R461" s="112"/>
      <c r="V461" s="112"/>
      <c r="Z461" s="112"/>
      <c r="AA461" s="112"/>
      <c r="AB461" s="112"/>
      <c r="AC461" s="112"/>
      <c r="AD461" s="112"/>
    </row>
    <row r="462" ht="15.75" customHeight="1">
      <c r="F462" s="115"/>
      <c r="G462" s="112"/>
      <c r="H462" s="112"/>
      <c r="I462" s="112"/>
      <c r="N462" s="112"/>
      <c r="R462" s="112"/>
      <c r="V462" s="112"/>
      <c r="Z462" s="112"/>
      <c r="AA462" s="112"/>
      <c r="AB462" s="112"/>
      <c r="AC462" s="112"/>
      <c r="AD462" s="112"/>
    </row>
    <row r="463" ht="15.75" customHeight="1">
      <c r="F463" s="115"/>
      <c r="G463" s="112"/>
      <c r="H463" s="112"/>
      <c r="I463" s="112"/>
      <c r="N463" s="112"/>
      <c r="R463" s="112"/>
      <c r="V463" s="112"/>
      <c r="Z463" s="112"/>
      <c r="AA463" s="112"/>
      <c r="AB463" s="112"/>
      <c r="AC463" s="112"/>
      <c r="AD463" s="112"/>
    </row>
    <row r="464" ht="15.75" customHeight="1">
      <c r="F464" s="115"/>
      <c r="G464" s="112"/>
      <c r="H464" s="112"/>
      <c r="I464" s="112"/>
      <c r="N464" s="112"/>
      <c r="R464" s="112"/>
      <c r="V464" s="112"/>
      <c r="Z464" s="112"/>
      <c r="AA464" s="112"/>
      <c r="AB464" s="112"/>
      <c r="AC464" s="112"/>
      <c r="AD464" s="112"/>
    </row>
    <row r="465" ht="15.75" customHeight="1">
      <c r="F465" s="115"/>
      <c r="G465" s="112"/>
      <c r="H465" s="112"/>
      <c r="I465" s="112"/>
      <c r="N465" s="112"/>
      <c r="R465" s="112"/>
      <c r="V465" s="112"/>
      <c r="Z465" s="112"/>
      <c r="AA465" s="112"/>
      <c r="AB465" s="112"/>
      <c r="AC465" s="112"/>
      <c r="AD465" s="112"/>
    </row>
    <row r="466" ht="15.75" customHeight="1">
      <c r="F466" s="115"/>
      <c r="G466" s="112"/>
      <c r="H466" s="112"/>
      <c r="I466" s="112"/>
      <c r="N466" s="112"/>
      <c r="R466" s="112"/>
      <c r="V466" s="112"/>
      <c r="Z466" s="112"/>
      <c r="AA466" s="112"/>
      <c r="AB466" s="112"/>
      <c r="AC466" s="112"/>
      <c r="AD466" s="112"/>
    </row>
    <row r="467" ht="15.75" customHeight="1">
      <c r="F467" s="115"/>
      <c r="G467" s="112"/>
      <c r="H467" s="112"/>
      <c r="I467" s="112"/>
      <c r="N467" s="112"/>
      <c r="R467" s="112"/>
      <c r="V467" s="112"/>
      <c r="Z467" s="112"/>
      <c r="AA467" s="112"/>
      <c r="AB467" s="112"/>
      <c r="AC467" s="112"/>
      <c r="AD467" s="112"/>
    </row>
    <row r="468" ht="15.75" customHeight="1">
      <c r="F468" s="115"/>
      <c r="G468" s="112"/>
      <c r="H468" s="112"/>
      <c r="I468" s="112"/>
      <c r="N468" s="112"/>
      <c r="R468" s="112"/>
      <c r="V468" s="112"/>
      <c r="Z468" s="112"/>
      <c r="AA468" s="112"/>
      <c r="AB468" s="112"/>
      <c r="AC468" s="112"/>
      <c r="AD468" s="112"/>
    </row>
    <row r="469" ht="15.75" customHeight="1">
      <c r="F469" s="115"/>
      <c r="G469" s="112"/>
      <c r="H469" s="112"/>
      <c r="I469" s="112"/>
      <c r="N469" s="112"/>
      <c r="R469" s="112"/>
      <c r="V469" s="112"/>
      <c r="Z469" s="112"/>
      <c r="AA469" s="112"/>
      <c r="AB469" s="112"/>
      <c r="AC469" s="112"/>
      <c r="AD469" s="112"/>
    </row>
    <row r="470" ht="15.75" customHeight="1">
      <c r="F470" s="115"/>
      <c r="G470" s="112"/>
      <c r="H470" s="112"/>
      <c r="I470" s="112"/>
      <c r="N470" s="112"/>
      <c r="R470" s="112"/>
      <c r="V470" s="112"/>
      <c r="Z470" s="112"/>
      <c r="AA470" s="112"/>
      <c r="AB470" s="112"/>
      <c r="AC470" s="112"/>
      <c r="AD470" s="112"/>
    </row>
    <row r="471" ht="15.75" customHeight="1">
      <c r="F471" s="115"/>
      <c r="G471" s="112"/>
      <c r="H471" s="112"/>
      <c r="I471" s="112"/>
      <c r="N471" s="112"/>
      <c r="R471" s="112"/>
      <c r="V471" s="112"/>
      <c r="Z471" s="112"/>
      <c r="AA471" s="112"/>
      <c r="AB471" s="112"/>
      <c r="AC471" s="112"/>
      <c r="AD471" s="112"/>
    </row>
    <row r="472" ht="15.75" customHeight="1">
      <c r="F472" s="115"/>
      <c r="G472" s="112"/>
      <c r="H472" s="112"/>
      <c r="I472" s="112"/>
      <c r="N472" s="112"/>
      <c r="R472" s="112"/>
      <c r="V472" s="112"/>
      <c r="Z472" s="112"/>
      <c r="AA472" s="112"/>
      <c r="AB472" s="112"/>
      <c r="AC472" s="112"/>
      <c r="AD472" s="112"/>
    </row>
    <row r="473" ht="15.75" customHeight="1">
      <c r="F473" s="115"/>
      <c r="G473" s="112"/>
      <c r="H473" s="112"/>
      <c r="I473" s="112"/>
      <c r="N473" s="112"/>
      <c r="R473" s="112"/>
      <c r="V473" s="112"/>
      <c r="Z473" s="112"/>
      <c r="AA473" s="112"/>
      <c r="AB473" s="112"/>
      <c r="AC473" s="112"/>
      <c r="AD473" s="112"/>
    </row>
    <row r="474" ht="15.75" customHeight="1">
      <c r="F474" s="115"/>
      <c r="G474" s="112"/>
      <c r="H474" s="112"/>
      <c r="I474" s="112"/>
      <c r="N474" s="112"/>
      <c r="R474" s="112"/>
      <c r="V474" s="112"/>
      <c r="Z474" s="112"/>
      <c r="AA474" s="112"/>
      <c r="AB474" s="112"/>
      <c r="AC474" s="112"/>
      <c r="AD474" s="112"/>
    </row>
    <row r="475" ht="15.75" customHeight="1">
      <c r="F475" s="115"/>
      <c r="G475" s="112"/>
      <c r="H475" s="112"/>
      <c r="I475" s="112"/>
      <c r="N475" s="112"/>
      <c r="R475" s="112"/>
      <c r="V475" s="112"/>
      <c r="Z475" s="112"/>
      <c r="AA475" s="112"/>
      <c r="AB475" s="112"/>
      <c r="AC475" s="112"/>
      <c r="AD475" s="112"/>
    </row>
    <row r="476" ht="15.75" customHeight="1">
      <c r="F476" s="115"/>
      <c r="G476" s="112"/>
      <c r="H476" s="112"/>
      <c r="I476" s="112"/>
      <c r="N476" s="112"/>
      <c r="R476" s="112"/>
      <c r="V476" s="112"/>
      <c r="Z476" s="112"/>
      <c r="AA476" s="112"/>
      <c r="AB476" s="112"/>
      <c r="AC476" s="112"/>
      <c r="AD476" s="112"/>
    </row>
    <row r="477" ht="15.75" customHeight="1">
      <c r="F477" s="115"/>
      <c r="G477" s="112"/>
      <c r="H477" s="112"/>
      <c r="I477" s="112"/>
      <c r="N477" s="112"/>
      <c r="R477" s="112"/>
      <c r="V477" s="112"/>
      <c r="Z477" s="112"/>
      <c r="AA477" s="112"/>
      <c r="AB477" s="112"/>
      <c r="AC477" s="112"/>
      <c r="AD477" s="112"/>
    </row>
    <row r="478" ht="15.75" customHeight="1">
      <c r="F478" s="115"/>
      <c r="G478" s="112"/>
      <c r="H478" s="112"/>
      <c r="I478" s="112"/>
      <c r="N478" s="112"/>
      <c r="R478" s="112"/>
      <c r="V478" s="112"/>
      <c r="Z478" s="112"/>
      <c r="AA478" s="112"/>
      <c r="AB478" s="112"/>
      <c r="AC478" s="112"/>
      <c r="AD478" s="112"/>
    </row>
    <row r="479" ht="15.75" customHeight="1">
      <c r="F479" s="115"/>
      <c r="G479" s="112"/>
      <c r="H479" s="112"/>
      <c r="I479" s="112"/>
      <c r="N479" s="112"/>
      <c r="R479" s="112"/>
      <c r="V479" s="112"/>
      <c r="Z479" s="112"/>
      <c r="AA479" s="112"/>
      <c r="AB479" s="112"/>
      <c r="AC479" s="112"/>
      <c r="AD479" s="112"/>
    </row>
    <row r="480" ht="15.75" customHeight="1">
      <c r="F480" s="115"/>
      <c r="G480" s="112"/>
      <c r="H480" s="112"/>
      <c r="I480" s="112"/>
      <c r="N480" s="112"/>
      <c r="R480" s="112"/>
      <c r="V480" s="112"/>
      <c r="Z480" s="112"/>
      <c r="AA480" s="112"/>
      <c r="AB480" s="112"/>
      <c r="AC480" s="112"/>
      <c r="AD480" s="112"/>
    </row>
    <row r="481" ht="15.75" customHeight="1">
      <c r="F481" s="115"/>
      <c r="G481" s="112"/>
      <c r="H481" s="112"/>
      <c r="I481" s="112"/>
      <c r="N481" s="112"/>
      <c r="R481" s="112"/>
      <c r="V481" s="112"/>
      <c r="Z481" s="112"/>
      <c r="AA481" s="112"/>
      <c r="AB481" s="112"/>
      <c r="AC481" s="112"/>
      <c r="AD481" s="112"/>
    </row>
    <row r="482" ht="15.75" customHeight="1">
      <c r="F482" s="115"/>
      <c r="G482" s="112"/>
      <c r="H482" s="112"/>
      <c r="I482" s="112"/>
      <c r="N482" s="112"/>
      <c r="R482" s="112"/>
      <c r="V482" s="112"/>
      <c r="Z482" s="112"/>
      <c r="AA482" s="112"/>
      <c r="AB482" s="112"/>
      <c r="AC482" s="112"/>
      <c r="AD482" s="112"/>
    </row>
    <row r="483" ht="15.75" customHeight="1">
      <c r="F483" s="115"/>
      <c r="G483" s="112"/>
      <c r="H483" s="112"/>
      <c r="I483" s="112"/>
      <c r="N483" s="112"/>
      <c r="R483" s="112"/>
      <c r="V483" s="112"/>
      <c r="Z483" s="112"/>
      <c r="AA483" s="112"/>
      <c r="AB483" s="112"/>
      <c r="AC483" s="112"/>
      <c r="AD483" s="112"/>
    </row>
    <row r="484" ht="15.75" customHeight="1">
      <c r="F484" s="115"/>
      <c r="G484" s="112"/>
      <c r="H484" s="112"/>
      <c r="I484" s="112"/>
      <c r="N484" s="112"/>
      <c r="R484" s="112"/>
      <c r="V484" s="112"/>
      <c r="Z484" s="112"/>
      <c r="AA484" s="112"/>
      <c r="AB484" s="112"/>
      <c r="AC484" s="112"/>
      <c r="AD484" s="112"/>
    </row>
    <row r="485" ht="15.75" customHeight="1">
      <c r="F485" s="115"/>
      <c r="G485" s="112"/>
      <c r="H485" s="112"/>
      <c r="I485" s="112"/>
      <c r="N485" s="112"/>
      <c r="R485" s="112"/>
      <c r="V485" s="112"/>
      <c r="Z485" s="112"/>
      <c r="AA485" s="112"/>
      <c r="AB485" s="112"/>
      <c r="AC485" s="112"/>
      <c r="AD485" s="112"/>
    </row>
    <row r="486" ht="15.75" customHeight="1">
      <c r="F486" s="115"/>
      <c r="G486" s="112"/>
      <c r="H486" s="112"/>
      <c r="I486" s="112"/>
      <c r="N486" s="112"/>
      <c r="R486" s="112"/>
      <c r="V486" s="112"/>
      <c r="Z486" s="112"/>
      <c r="AA486" s="112"/>
      <c r="AB486" s="112"/>
      <c r="AC486" s="112"/>
      <c r="AD486" s="112"/>
    </row>
    <row r="487" ht="15.75" customHeight="1">
      <c r="F487" s="115"/>
      <c r="G487" s="112"/>
      <c r="H487" s="112"/>
      <c r="I487" s="112"/>
      <c r="N487" s="112"/>
      <c r="R487" s="112"/>
      <c r="V487" s="112"/>
      <c r="Z487" s="112"/>
      <c r="AA487" s="112"/>
      <c r="AB487" s="112"/>
      <c r="AC487" s="112"/>
      <c r="AD487" s="112"/>
    </row>
    <row r="488" ht="15.75" customHeight="1">
      <c r="F488" s="115"/>
      <c r="G488" s="112"/>
      <c r="H488" s="112"/>
      <c r="I488" s="112"/>
      <c r="N488" s="112"/>
      <c r="R488" s="112"/>
      <c r="V488" s="112"/>
      <c r="Z488" s="112"/>
      <c r="AA488" s="112"/>
      <c r="AB488" s="112"/>
      <c r="AC488" s="112"/>
      <c r="AD488" s="112"/>
    </row>
    <row r="489" ht="15.75" customHeight="1">
      <c r="F489" s="115"/>
      <c r="G489" s="112"/>
      <c r="H489" s="112"/>
      <c r="I489" s="112"/>
      <c r="N489" s="112"/>
      <c r="R489" s="112"/>
      <c r="V489" s="112"/>
      <c r="Z489" s="112"/>
      <c r="AA489" s="112"/>
      <c r="AB489" s="112"/>
      <c r="AC489" s="112"/>
      <c r="AD489" s="112"/>
    </row>
    <row r="490" ht="15.75" customHeight="1">
      <c r="F490" s="115"/>
      <c r="G490" s="112"/>
      <c r="H490" s="112"/>
      <c r="I490" s="112"/>
      <c r="N490" s="112"/>
      <c r="R490" s="112"/>
      <c r="V490" s="112"/>
      <c r="Z490" s="112"/>
      <c r="AA490" s="112"/>
      <c r="AB490" s="112"/>
      <c r="AC490" s="112"/>
      <c r="AD490" s="112"/>
    </row>
    <row r="491" ht="15.75" customHeight="1">
      <c r="F491" s="115"/>
      <c r="G491" s="112"/>
      <c r="H491" s="112"/>
      <c r="I491" s="112"/>
      <c r="N491" s="112"/>
      <c r="R491" s="112"/>
      <c r="V491" s="112"/>
      <c r="Z491" s="112"/>
      <c r="AA491" s="112"/>
      <c r="AB491" s="112"/>
      <c r="AC491" s="112"/>
      <c r="AD491" s="112"/>
    </row>
    <row r="492" ht="15.75" customHeight="1">
      <c r="F492" s="115"/>
      <c r="G492" s="112"/>
      <c r="H492" s="112"/>
      <c r="I492" s="112"/>
      <c r="N492" s="112"/>
      <c r="R492" s="112"/>
      <c r="V492" s="112"/>
      <c r="Z492" s="112"/>
      <c r="AA492" s="112"/>
      <c r="AB492" s="112"/>
      <c r="AC492" s="112"/>
      <c r="AD492" s="112"/>
    </row>
    <row r="493" ht="15.75" customHeight="1">
      <c r="F493" s="115"/>
      <c r="G493" s="112"/>
      <c r="H493" s="112"/>
      <c r="I493" s="112"/>
      <c r="N493" s="112"/>
      <c r="R493" s="112"/>
      <c r="V493" s="112"/>
      <c r="Z493" s="112"/>
      <c r="AA493" s="112"/>
      <c r="AB493" s="112"/>
      <c r="AC493" s="112"/>
      <c r="AD493" s="112"/>
    </row>
    <row r="494" ht="15.75" customHeight="1">
      <c r="F494" s="115"/>
      <c r="G494" s="112"/>
      <c r="H494" s="112"/>
      <c r="I494" s="112"/>
      <c r="N494" s="112"/>
      <c r="R494" s="112"/>
      <c r="V494" s="112"/>
      <c r="Z494" s="112"/>
      <c r="AA494" s="112"/>
      <c r="AB494" s="112"/>
      <c r="AC494" s="112"/>
      <c r="AD494" s="112"/>
    </row>
    <row r="495" ht="15.75" customHeight="1">
      <c r="F495" s="115"/>
      <c r="G495" s="112"/>
      <c r="H495" s="112"/>
      <c r="I495" s="112"/>
      <c r="N495" s="112"/>
      <c r="R495" s="112"/>
      <c r="V495" s="112"/>
      <c r="Z495" s="112"/>
      <c r="AA495" s="112"/>
      <c r="AB495" s="112"/>
      <c r="AC495" s="112"/>
      <c r="AD495" s="112"/>
    </row>
    <row r="496" ht="15.75" customHeight="1">
      <c r="F496" s="115"/>
      <c r="G496" s="112"/>
      <c r="H496" s="112"/>
      <c r="I496" s="112"/>
      <c r="N496" s="112"/>
      <c r="R496" s="112"/>
      <c r="V496" s="112"/>
      <c r="Z496" s="112"/>
      <c r="AA496" s="112"/>
      <c r="AB496" s="112"/>
      <c r="AC496" s="112"/>
      <c r="AD496" s="112"/>
    </row>
    <row r="497" ht="15.75" customHeight="1">
      <c r="F497" s="115"/>
      <c r="G497" s="112"/>
      <c r="H497" s="112"/>
      <c r="I497" s="112"/>
      <c r="N497" s="112"/>
      <c r="R497" s="112"/>
      <c r="V497" s="112"/>
      <c r="Z497" s="112"/>
      <c r="AA497" s="112"/>
      <c r="AB497" s="112"/>
      <c r="AC497" s="112"/>
      <c r="AD497" s="112"/>
    </row>
    <row r="498" ht="15.75" customHeight="1">
      <c r="F498" s="115"/>
      <c r="G498" s="112"/>
      <c r="H498" s="112"/>
      <c r="I498" s="112"/>
      <c r="N498" s="112"/>
      <c r="R498" s="112"/>
      <c r="V498" s="112"/>
      <c r="Z498" s="112"/>
      <c r="AA498" s="112"/>
      <c r="AB498" s="112"/>
      <c r="AC498" s="112"/>
      <c r="AD498" s="112"/>
    </row>
    <row r="499" ht="15.75" customHeight="1">
      <c r="F499" s="115"/>
      <c r="G499" s="112"/>
      <c r="H499" s="112"/>
      <c r="I499" s="112"/>
      <c r="N499" s="112"/>
      <c r="R499" s="112"/>
      <c r="V499" s="112"/>
      <c r="Z499" s="112"/>
      <c r="AA499" s="112"/>
      <c r="AB499" s="112"/>
      <c r="AC499" s="112"/>
      <c r="AD499" s="112"/>
    </row>
    <row r="500" ht="15.75" customHeight="1">
      <c r="F500" s="115"/>
      <c r="G500" s="112"/>
      <c r="H500" s="112"/>
      <c r="I500" s="112"/>
      <c r="N500" s="112"/>
      <c r="R500" s="112"/>
      <c r="V500" s="112"/>
      <c r="Z500" s="112"/>
      <c r="AA500" s="112"/>
      <c r="AB500" s="112"/>
      <c r="AC500" s="112"/>
      <c r="AD500" s="112"/>
    </row>
    <row r="501" ht="15.75" customHeight="1">
      <c r="F501" s="115"/>
      <c r="G501" s="112"/>
      <c r="H501" s="112"/>
      <c r="I501" s="112"/>
      <c r="N501" s="112"/>
      <c r="R501" s="112"/>
      <c r="V501" s="112"/>
      <c r="Z501" s="112"/>
      <c r="AA501" s="112"/>
      <c r="AB501" s="112"/>
      <c r="AC501" s="112"/>
      <c r="AD501" s="112"/>
    </row>
    <row r="502" ht="15.75" customHeight="1">
      <c r="F502" s="115"/>
      <c r="G502" s="112"/>
      <c r="H502" s="112"/>
      <c r="I502" s="112"/>
      <c r="N502" s="112"/>
      <c r="R502" s="112"/>
      <c r="V502" s="112"/>
      <c r="Z502" s="112"/>
      <c r="AA502" s="112"/>
      <c r="AB502" s="112"/>
      <c r="AC502" s="112"/>
      <c r="AD502" s="112"/>
    </row>
    <row r="503" ht="15.75" customHeight="1">
      <c r="F503" s="115"/>
      <c r="G503" s="112"/>
      <c r="H503" s="112"/>
      <c r="I503" s="112"/>
      <c r="N503" s="112"/>
      <c r="R503" s="112"/>
      <c r="V503" s="112"/>
      <c r="Z503" s="112"/>
      <c r="AA503" s="112"/>
      <c r="AB503" s="112"/>
      <c r="AC503" s="112"/>
      <c r="AD503" s="112"/>
    </row>
    <row r="504" ht="15.75" customHeight="1">
      <c r="F504" s="115"/>
      <c r="G504" s="112"/>
      <c r="H504" s="112"/>
      <c r="I504" s="112"/>
      <c r="N504" s="112"/>
      <c r="R504" s="112"/>
      <c r="V504" s="112"/>
      <c r="Z504" s="112"/>
      <c r="AA504" s="112"/>
      <c r="AB504" s="112"/>
      <c r="AC504" s="112"/>
      <c r="AD504" s="112"/>
    </row>
    <row r="505" ht="15.75" customHeight="1">
      <c r="F505" s="115"/>
      <c r="G505" s="112"/>
      <c r="H505" s="112"/>
      <c r="I505" s="112"/>
      <c r="N505" s="112"/>
      <c r="R505" s="112"/>
      <c r="V505" s="112"/>
      <c r="Z505" s="112"/>
      <c r="AA505" s="112"/>
      <c r="AB505" s="112"/>
      <c r="AC505" s="112"/>
      <c r="AD505" s="112"/>
    </row>
    <row r="506" ht="15.75" customHeight="1">
      <c r="F506" s="115"/>
      <c r="G506" s="112"/>
      <c r="H506" s="112"/>
      <c r="I506" s="112"/>
      <c r="N506" s="112"/>
      <c r="R506" s="112"/>
      <c r="V506" s="112"/>
      <c r="Z506" s="112"/>
      <c r="AA506" s="112"/>
      <c r="AB506" s="112"/>
      <c r="AC506" s="112"/>
      <c r="AD506" s="112"/>
    </row>
    <row r="507" ht="15.75" customHeight="1">
      <c r="F507" s="115"/>
      <c r="G507" s="112"/>
      <c r="H507" s="112"/>
      <c r="I507" s="112"/>
      <c r="N507" s="112"/>
      <c r="R507" s="112"/>
      <c r="V507" s="112"/>
      <c r="Z507" s="112"/>
      <c r="AA507" s="112"/>
      <c r="AB507" s="112"/>
      <c r="AC507" s="112"/>
      <c r="AD507" s="112"/>
    </row>
    <row r="508" ht="15.75" customHeight="1">
      <c r="F508" s="115"/>
      <c r="G508" s="112"/>
      <c r="H508" s="112"/>
      <c r="I508" s="112"/>
      <c r="N508" s="112"/>
      <c r="R508" s="112"/>
      <c r="V508" s="112"/>
      <c r="Z508" s="112"/>
      <c r="AA508" s="112"/>
      <c r="AB508" s="112"/>
      <c r="AC508" s="112"/>
      <c r="AD508" s="112"/>
    </row>
    <row r="509" ht="15.75" customHeight="1">
      <c r="F509" s="115"/>
      <c r="G509" s="112"/>
      <c r="H509" s="112"/>
      <c r="I509" s="112"/>
      <c r="N509" s="112"/>
      <c r="R509" s="112"/>
      <c r="V509" s="112"/>
      <c r="Z509" s="112"/>
      <c r="AA509" s="112"/>
      <c r="AB509" s="112"/>
      <c r="AC509" s="112"/>
      <c r="AD509" s="112"/>
    </row>
    <row r="510" ht="15.75" customHeight="1">
      <c r="F510" s="115"/>
      <c r="G510" s="112"/>
      <c r="H510" s="112"/>
      <c r="I510" s="112"/>
      <c r="N510" s="112"/>
      <c r="R510" s="112"/>
      <c r="V510" s="112"/>
      <c r="Z510" s="112"/>
      <c r="AA510" s="112"/>
      <c r="AB510" s="112"/>
      <c r="AC510" s="112"/>
      <c r="AD510" s="112"/>
    </row>
    <row r="511" ht="15.75" customHeight="1">
      <c r="F511" s="115"/>
      <c r="G511" s="112"/>
      <c r="H511" s="112"/>
      <c r="I511" s="112"/>
      <c r="N511" s="112"/>
      <c r="R511" s="112"/>
      <c r="V511" s="112"/>
      <c r="Z511" s="112"/>
      <c r="AA511" s="112"/>
      <c r="AB511" s="112"/>
      <c r="AC511" s="112"/>
      <c r="AD511" s="112"/>
    </row>
    <row r="512" ht="15.75" customHeight="1">
      <c r="F512" s="115"/>
      <c r="G512" s="112"/>
      <c r="H512" s="112"/>
      <c r="I512" s="112"/>
      <c r="N512" s="112"/>
      <c r="R512" s="112"/>
      <c r="V512" s="112"/>
      <c r="Z512" s="112"/>
      <c r="AA512" s="112"/>
      <c r="AB512" s="112"/>
      <c r="AC512" s="112"/>
      <c r="AD512" s="112"/>
    </row>
    <row r="513" ht="15.75" customHeight="1">
      <c r="F513" s="115"/>
      <c r="G513" s="112"/>
      <c r="H513" s="112"/>
      <c r="I513" s="112"/>
      <c r="N513" s="112"/>
      <c r="R513" s="112"/>
      <c r="V513" s="112"/>
      <c r="Z513" s="112"/>
      <c r="AA513" s="112"/>
      <c r="AB513" s="112"/>
      <c r="AC513" s="112"/>
      <c r="AD513" s="112"/>
    </row>
    <row r="514" ht="15.75" customHeight="1">
      <c r="F514" s="115"/>
      <c r="G514" s="112"/>
      <c r="H514" s="112"/>
      <c r="I514" s="112"/>
      <c r="N514" s="112"/>
      <c r="R514" s="112"/>
      <c r="V514" s="112"/>
      <c r="Z514" s="112"/>
      <c r="AA514" s="112"/>
      <c r="AB514" s="112"/>
      <c r="AC514" s="112"/>
      <c r="AD514" s="112"/>
    </row>
    <row r="515" ht="15.75" customHeight="1">
      <c r="F515" s="115"/>
      <c r="G515" s="112"/>
      <c r="H515" s="112"/>
      <c r="I515" s="112"/>
      <c r="N515" s="112"/>
      <c r="R515" s="112"/>
      <c r="V515" s="112"/>
      <c r="Z515" s="112"/>
      <c r="AA515" s="112"/>
      <c r="AB515" s="112"/>
      <c r="AC515" s="112"/>
      <c r="AD515" s="112"/>
    </row>
    <row r="516" ht="15.75" customHeight="1">
      <c r="F516" s="115"/>
      <c r="G516" s="112"/>
      <c r="H516" s="112"/>
      <c r="I516" s="112"/>
      <c r="N516" s="112"/>
      <c r="R516" s="112"/>
      <c r="V516" s="112"/>
      <c r="Z516" s="112"/>
      <c r="AA516" s="112"/>
      <c r="AB516" s="112"/>
      <c r="AC516" s="112"/>
      <c r="AD516" s="112"/>
    </row>
    <row r="517" ht="15.75" customHeight="1">
      <c r="F517" s="115"/>
      <c r="G517" s="112"/>
      <c r="H517" s="112"/>
      <c r="I517" s="112"/>
      <c r="N517" s="112"/>
      <c r="R517" s="112"/>
      <c r="V517" s="112"/>
      <c r="Z517" s="112"/>
      <c r="AA517" s="112"/>
      <c r="AB517" s="112"/>
      <c r="AC517" s="112"/>
      <c r="AD517" s="112"/>
    </row>
    <row r="518" ht="15.75" customHeight="1">
      <c r="F518" s="115"/>
      <c r="G518" s="112"/>
      <c r="H518" s="112"/>
      <c r="I518" s="112"/>
      <c r="N518" s="112"/>
      <c r="R518" s="112"/>
      <c r="V518" s="112"/>
      <c r="Z518" s="112"/>
      <c r="AA518" s="112"/>
      <c r="AB518" s="112"/>
      <c r="AC518" s="112"/>
      <c r="AD518" s="112"/>
    </row>
    <row r="519" ht="15.75" customHeight="1">
      <c r="F519" s="115"/>
      <c r="G519" s="112"/>
      <c r="H519" s="112"/>
      <c r="I519" s="112"/>
      <c r="N519" s="112"/>
      <c r="R519" s="112"/>
      <c r="V519" s="112"/>
      <c r="Z519" s="112"/>
      <c r="AA519" s="112"/>
      <c r="AB519" s="112"/>
      <c r="AC519" s="112"/>
      <c r="AD519" s="112"/>
    </row>
    <row r="520" ht="15.75" customHeight="1">
      <c r="F520" s="115"/>
      <c r="G520" s="112"/>
      <c r="H520" s="112"/>
      <c r="I520" s="112"/>
      <c r="N520" s="112"/>
      <c r="R520" s="112"/>
      <c r="V520" s="112"/>
      <c r="Z520" s="112"/>
      <c r="AA520" s="112"/>
      <c r="AB520" s="112"/>
      <c r="AC520" s="112"/>
      <c r="AD520" s="112"/>
    </row>
    <row r="521" ht="15.75" customHeight="1">
      <c r="F521" s="115"/>
      <c r="G521" s="112"/>
      <c r="H521" s="112"/>
      <c r="I521" s="112"/>
      <c r="N521" s="112"/>
      <c r="R521" s="112"/>
      <c r="V521" s="112"/>
      <c r="Z521" s="112"/>
      <c r="AA521" s="112"/>
      <c r="AB521" s="112"/>
      <c r="AC521" s="112"/>
      <c r="AD521" s="112"/>
    </row>
    <row r="522" ht="15.75" customHeight="1">
      <c r="F522" s="115"/>
      <c r="G522" s="112"/>
      <c r="H522" s="112"/>
      <c r="I522" s="112"/>
      <c r="N522" s="112"/>
      <c r="R522" s="112"/>
      <c r="V522" s="112"/>
      <c r="Z522" s="112"/>
      <c r="AA522" s="112"/>
      <c r="AB522" s="112"/>
      <c r="AC522" s="112"/>
      <c r="AD522" s="112"/>
    </row>
    <row r="523" ht="15.75" customHeight="1">
      <c r="F523" s="115"/>
      <c r="G523" s="112"/>
      <c r="H523" s="112"/>
      <c r="I523" s="112"/>
      <c r="N523" s="112"/>
      <c r="R523" s="112"/>
      <c r="V523" s="112"/>
      <c r="Z523" s="112"/>
      <c r="AA523" s="112"/>
      <c r="AB523" s="112"/>
      <c r="AC523" s="112"/>
      <c r="AD523" s="112"/>
    </row>
    <row r="524" ht="15.75" customHeight="1">
      <c r="F524" s="115"/>
      <c r="G524" s="112"/>
      <c r="H524" s="112"/>
      <c r="I524" s="112"/>
      <c r="N524" s="112"/>
      <c r="R524" s="112"/>
      <c r="V524" s="112"/>
      <c r="Z524" s="112"/>
      <c r="AA524" s="112"/>
      <c r="AB524" s="112"/>
      <c r="AC524" s="112"/>
      <c r="AD524" s="112"/>
    </row>
    <row r="525" ht="15.75" customHeight="1">
      <c r="F525" s="115"/>
      <c r="G525" s="112"/>
      <c r="H525" s="112"/>
      <c r="I525" s="112"/>
      <c r="N525" s="112"/>
      <c r="R525" s="112"/>
      <c r="V525" s="112"/>
      <c r="Z525" s="112"/>
      <c r="AA525" s="112"/>
      <c r="AB525" s="112"/>
      <c r="AC525" s="112"/>
      <c r="AD525" s="112"/>
    </row>
    <row r="526" ht="15.75" customHeight="1">
      <c r="F526" s="115"/>
      <c r="G526" s="112"/>
      <c r="H526" s="112"/>
      <c r="I526" s="112"/>
      <c r="N526" s="112"/>
      <c r="R526" s="112"/>
      <c r="V526" s="112"/>
      <c r="Z526" s="112"/>
      <c r="AA526" s="112"/>
      <c r="AB526" s="112"/>
      <c r="AC526" s="112"/>
      <c r="AD526" s="112"/>
    </row>
    <row r="527" ht="15.75" customHeight="1">
      <c r="F527" s="115"/>
      <c r="G527" s="112"/>
      <c r="H527" s="112"/>
      <c r="I527" s="112"/>
      <c r="N527" s="112"/>
      <c r="R527" s="112"/>
      <c r="V527" s="112"/>
      <c r="Z527" s="112"/>
      <c r="AA527" s="112"/>
      <c r="AB527" s="112"/>
      <c r="AC527" s="112"/>
      <c r="AD527" s="112"/>
    </row>
    <row r="528" ht="15.75" customHeight="1">
      <c r="F528" s="115"/>
      <c r="G528" s="112"/>
      <c r="H528" s="112"/>
      <c r="I528" s="112"/>
      <c r="N528" s="112"/>
      <c r="R528" s="112"/>
      <c r="V528" s="112"/>
      <c r="Z528" s="112"/>
      <c r="AA528" s="112"/>
      <c r="AB528" s="112"/>
      <c r="AC528" s="112"/>
      <c r="AD528" s="112"/>
    </row>
    <row r="529" ht="15.75" customHeight="1">
      <c r="F529" s="115"/>
      <c r="G529" s="112"/>
      <c r="H529" s="112"/>
      <c r="I529" s="112"/>
      <c r="N529" s="112"/>
      <c r="R529" s="112"/>
      <c r="V529" s="112"/>
      <c r="Z529" s="112"/>
      <c r="AA529" s="112"/>
      <c r="AB529" s="112"/>
      <c r="AC529" s="112"/>
      <c r="AD529" s="112"/>
    </row>
    <row r="530" ht="15.75" customHeight="1">
      <c r="F530" s="115"/>
      <c r="G530" s="112"/>
      <c r="H530" s="112"/>
      <c r="I530" s="112"/>
      <c r="N530" s="112"/>
      <c r="R530" s="112"/>
      <c r="V530" s="112"/>
      <c r="Z530" s="112"/>
      <c r="AA530" s="112"/>
      <c r="AB530" s="112"/>
      <c r="AC530" s="112"/>
      <c r="AD530" s="112"/>
    </row>
    <row r="531" ht="15.75" customHeight="1">
      <c r="F531" s="115"/>
      <c r="G531" s="112"/>
      <c r="H531" s="112"/>
      <c r="I531" s="112"/>
      <c r="N531" s="112"/>
      <c r="R531" s="112"/>
      <c r="V531" s="112"/>
      <c r="Z531" s="112"/>
      <c r="AA531" s="112"/>
      <c r="AB531" s="112"/>
      <c r="AC531" s="112"/>
      <c r="AD531" s="112"/>
    </row>
    <row r="532" ht="15.75" customHeight="1">
      <c r="F532" s="115"/>
      <c r="G532" s="112"/>
      <c r="H532" s="112"/>
      <c r="I532" s="112"/>
      <c r="N532" s="112"/>
      <c r="R532" s="112"/>
      <c r="V532" s="112"/>
      <c r="Z532" s="112"/>
      <c r="AA532" s="112"/>
      <c r="AB532" s="112"/>
      <c r="AC532" s="112"/>
      <c r="AD532" s="112"/>
    </row>
    <row r="533" ht="15.75" customHeight="1">
      <c r="F533" s="115"/>
      <c r="G533" s="112"/>
      <c r="H533" s="112"/>
      <c r="I533" s="112"/>
      <c r="N533" s="112"/>
      <c r="R533" s="112"/>
      <c r="V533" s="112"/>
      <c r="Z533" s="112"/>
      <c r="AA533" s="112"/>
      <c r="AB533" s="112"/>
      <c r="AC533" s="112"/>
      <c r="AD533" s="112"/>
    </row>
    <row r="534" ht="15.75" customHeight="1">
      <c r="F534" s="115"/>
      <c r="G534" s="112"/>
      <c r="H534" s="112"/>
      <c r="I534" s="112"/>
      <c r="N534" s="112"/>
      <c r="R534" s="112"/>
      <c r="V534" s="112"/>
      <c r="Z534" s="112"/>
      <c r="AA534" s="112"/>
      <c r="AB534" s="112"/>
      <c r="AC534" s="112"/>
      <c r="AD534" s="112"/>
    </row>
    <row r="535" ht="15.75" customHeight="1">
      <c r="F535" s="115"/>
      <c r="G535" s="112"/>
      <c r="H535" s="112"/>
      <c r="I535" s="112"/>
      <c r="N535" s="112"/>
      <c r="R535" s="112"/>
      <c r="V535" s="112"/>
      <c r="Z535" s="112"/>
      <c r="AA535" s="112"/>
      <c r="AB535" s="112"/>
      <c r="AC535" s="112"/>
      <c r="AD535" s="112"/>
    </row>
    <row r="536" ht="15.75" customHeight="1">
      <c r="F536" s="115"/>
      <c r="G536" s="112"/>
      <c r="H536" s="112"/>
      <c r="I536" s="112"/>
      <c r="N536" s="112"/>
      <c r="R536" s="112"/>
      <c r="V536" s="112"/>
      <c r="Z536" s="112"/>
      <c r="AA536" s="112"/>
      <c r="AB536" s="112"/>
      <c r="AC536" s="112"/>
      <c r="AD536" s="112"/>
    </row>
    <row r="537" ht="15.75" customHeight="1">
      <c r="F537" s="115"/>
      <c r="G537" s="112"/>
      <c r="H537" s="112"/>
      <c r="I537" s="112"/>
      <c r="N537" s="112"/>
      <c r="R537" s="112"/>
      <c r="V537" s="112"/>
      <c r="Z537" s="112"/>
      <c r="AA537" s="112"/>
      <c r="AB537" s="112"/>
      <c r="AC537" s="112"/>
      <c r="AD537" s="112"/>
    </row>
    <row r="538" ht="15.75" customHeight="1">
      <c r="F538" s="115"/>
      <c r="G538" s="112"/>
      <c r="H538" s="112"/>
      <c r="I538" s="112"/>
      <c r="N538" s="112"/>
      <c r="R538" s="112"/>
      <c r="V538" s="112"/>
      <c r="Z538" s="112"/>
      <c r="AA538" s="112"/>
      <c r="AB538" s="112"/>
      <c r="AC538" s="112"/>
      <c r="AD538" s="112"/>
    </row>
    <row r="539" ht="15.75" customHeight="1">
      <c r="F539" s="115"/>
      <c r="G539" s="112"/>
      <c r="H539" s="112"/>
      <c r="I539" s="112"/>
      <c r="N539" s="112"/>
      <c r="R539" s="112"/>
      <c r="V539" s="112"/>
      <c r="Z539" s="112"/>
      <c r="AA539" s="112"/>
      <c r="AB539" s="112"/>
      <c r="AC539" s="112"/>
      <c r="AD539" s="112"/>
    </row>
    <row r="540" ht="15.75" customHeight="1">
      <c r="F540" s="115"/>
      <c r="G540" s="112"/>
      <c r="H540" s="112"/>
      <c r="I540" s="112"/>
      <c r="N540" s="112"/>
      <c r="R540" s="112"/>
      <c r="V540" s="112"/>
      <c r="Z540" s="112"/>
      <c r="AA540" s="112"/>
      <c r="AB540" s="112"/>
      <c r="AC540" s="112"/>
      <c r="AD540" s="112"/>
    </row>
    <row r="541" ht="15.75" customHeight="1">
      <c r="F541" s="115"/>
      <c r="G541" s="112"/>
      <c r="H541" s="112"/>
      <c r="I541" s="112"/>
      <c r="N541" s="112"/>
      <c r="R541" s="112"/>
      <c r="V541" s="112"/>
      <c r="Z541" s="112"/>
      <c r="AA541" s="112"/>
      <c r="AB541" s="112"/>
      <c r="AC541" s="112"/>
      <c r="AD541" s="112"/>
    </row>
    <row r="542" ht="15.75" customHeight="1">
      <c r="F542" s="115"/>
      <c r="G542" s="112"/>
      <c r="H542" s="112"/>
      <c r="I542" s="112"/>
      <c r="N542" s="112"/>
      <c r="R542" s="112"/>
      <c r="V542" s="112"/>
      <c r="Z542" s="112"/>
      <c r="AA542" s="112"/>
      <c r="AB542" s="112"/>
      <c r="AC542" s="112"/>
      <c r="AD542" s="112"/>
    </row>
    <row r="543" ht="15.75" customHeight="1">
      <c r="F543" s="115"/>
      <c r="G543" s="112"/>
      <c r="H543" s="112"/>
      <c r="I543" s="112"/>
      <c r="N543" s="112"/>
      <c r="R543" s="112"/>
      <c r="V543" s="112"/>
      <c r="Z543" s="112"/>
      <c r="AA543" s="112"/>
      <c r="AB543" s="112"/>
      <c r="AC543" s="112"/>
      <c r="AD543" s="112"/>
    </row>
    <row r="544" ht="15.75" customHeight="1">
      <c r="F544" s="115"/>
      <c r="G544" s="112"/>
      <c r="H544" s="112"/>
      <c r="I544" s="112"/>
      <c r="N544" s="112"/>
      <c r="R544" s="112"/>
      <c r="V544" s="112"/>
      <c r="Z544" s="112"/>
      <c r="AA544" s="112"/>
      <c r="AB544" s="112"/>
      <c r="AC544" s="112"/>
      <c r="AD544" s="112"/>
    </row>
    <row r="545" ht="15.75" customHeight="1">
      <c r="F545" s="115"/>
      <c r="G545" s="112"/>
      <c r="H545" s="112"/>
      <c r="I545" s="112"/>
      <c r="N545" s="112"/>
      <c r="R545" s="112"/>
      <c r="V545" s="112"/>
      <c r="Z545" s="112"/>
      <c r="AA545" s="112"/>
      <c r="AB545" s="112"/>
      <c r="AC545" s="112"/>
      <c r="AD545" s="112"/>
    </row>
    <row r="546" ht="15.75" customHeight="1">
      <c r="F546" s="115"/>
      <c r="G546" s="112"/>
      <c r="H546" s="112"/>
      <c r="I546" s="112"/>
      <c r="N546" s="112"/>
      <c r="R546" s="112"/>
      <c r="V546" s="112"/>
      <c r="Z546" s="112"/>
      <c r="AA546" s="112"/>
      <c r="AB546" s="112"/>
      <c r="AC546" s="112"/>
      <c r="AD546" s="112"/>
    </row>
    <row r="547" ht="15.75" customHeight="1">
      <c r="F547" s="115"/>
      <c r="G547" s="112"/>
      <c r="H547" s="112"/>
      <c r="I547" s="112"/>
      <c r="N547" s="112"/>
      <c r="R547" s="112"/>
      <c r="V547" s="112"/>
      <c r="Z547" s="112"/>
      <c r="AA547" s="112"/>
      <c r="AB547" s="112"/>
      <c r="AC547" s="112"/>
      <c r="AD547" s="112"/>
    </row>
    <row r="548" ht="15.75" customHeight="1">
      <c r="F548" s="115"/>
      <c r="G548" s="112"/>
      <c r="H548" s="112"/>
      <c r="I548" s="112"/>
      <c r="N548" s="112"/>
      <c r="R548" s="112"/>
      <c r="V548" s="112"/>
      <c r="Z548" s="112"/>
      <c r="AA548" s="112"/>
      <c r="AB548" s="112"/>
      <c r="AC548" s="112"/>
      <c r="AD548" s="112"/>
    </row>
    <row r="549" ht="15.75" customHeight="1">
      <c r="F549" s="115"/>
      <c r="G549" s="112"/>
      <c r="H549" s="112"/>
      <c r="I549" s="112"/>
      <c r="N549" s="112"/>
      <c r="R549" s="112"/>
      <c r="V549" s="112"/>
      <c r="Z549" s="112"/>
      <c r="AA549" s="112"/>
      <c r="AB549" s="112"/>
      <c r="AC549" s="112"/>
      <c r="AD549" s="112"/>
    </row>
    <row r="550" ht="15.75" customHeight="1">
      <c r="F550" s="115"/>
      <c r="G550" s="112"/>
      <c r="H550" s="112"/>
      <c r="I550" s="112"/>
      <c r="N550" s="112"/>
      <c r="R550" s="112"/>
      <c r="V550" s="112"/>
      <c r="Z550" s="112"/>
      <c r="AA550" s="112"/>
      <c r="AB550" s="112"/>
      <c r="AC550" s="112"/>
      <c r="AD550" s="112"/>
    </row>
    <row r="551" ht="15.75" customHeight="1">
      <c r="F551" s="115"/>
      <c r="G551" s="112"/>
      <c r="H551" s="112"/>
      <c r="I551" s="112"/>
      <c r="N551" s="112"/>
      <c r="R551" s="112"/>
      <c r="V551" s="112"/>
      <c r="Z551" s="112"/>
      <c r="AA551" s="112"/>
      <c r="AB551" s="112"/>
      <c r="AC551" s="112"/>
      <c r="AD551" s="112"/>
    </row>
    <row r="552" ht="15.75" customHeight="1">
      <c r="F552" s="115"/>
      <c r="G552" s="112"/>
      <c r="H552" s="112"/>
      <c r="I552" s="112"/>
      <c r="N552" s="112"/>
      <c r="R552" s="112"/>
      <c r="V552" s="112"/>
      <c r="Z552" s="112"/>
      <c r="AA552" s="112"/>
      <c r="AB552" s="112"/>
      <c r="AC552" s="112"/>
      <c r="AD552" s="112"/>
    </row>
    <row r="553" ht="15.75" customHeight="1">
      <c r="F553" s="115"/>
      <c r="G553" s="112"/>
      <c r="H553" s="112"/>
      <c r="I553" s="112"/>
      <c r="N553" s="112"/>
      <c r="R553" s="112"/>
      <c r="V553" s="112"/>
      <c r="Z553" s="112"/>
      <c r="AA553" s="112"/>
      <c r="AB553" s="112"/>
      <c r="AC553" s="112"/>
      <c r="AD553" s="112"/>
    </row>
    <row r="554" ht="15.75" customHeight="1">
      <c r="F554" s="115"/>
      <c r="G554" s="112"/>
      <c r="H554" s="112"/>
      <c r="I554" s="112"/>
      <c r="N554" s="112"/>
      <c r="R554" s="112"/>
      <c r="V554" s="112"/>
      <c r="Z554" s="112"/>
      <c r="AA554" s="112"/>
      <c r="AB554" s="112"/>
      <c r="AC554" s="112"/>
      <c r="AD554" s="112"/>
    </row>
    <row r="555" ht="15.75" customHeight="1">
      <c r="F555" s="115"/>
      <c r="G555" s="112"/>
      <c r="H555" s="112"/>
      <c r="I555" s="112"/>
      <c r="N555" s="112"/>
      <c r="R555" s="112"/>
      <c r="V555" s="112"/>
      <c r="Z555" s="112"/>
      <c r="AA555" s="112"/>
      <c r="AB555" s="112"/>
      <c r="AC555" s="112"/>
      <c r="AD555" s="112"/>
    </row>
    <row r="556" ht="15.75" customHeight="1">
      <c r="F556" s="115"/>
      <c r="G556" s="112"/>
      <c r="H556" s="112"/>
      <c r="I556" s="112"/>
      <c r="N556" s="112"/>
      <c r="R556" s="112"/>
      <c r="V556" s="112"/>
      <c r="Z556" s="112"/>
      <c r="AA556" s="112"/>
      <c r="AB556" s="112"/>
      <c r="AC556" s="112"/>
      <c r="AD556" s="112"/>
    </row>
    <row r="557" ht="15.75" customHeight="1">
      <c r="F557" s="115"/>
      <c r="G557" s="112"/>
      <c r="H557" s="112"/>
      <c r="I557" s="112"/>
      <c r="N557" s="112"/>
      <c r="R557" s="112"/>
      <c r="V557" s="112"/>
      <c r="Z557" s="112"/>
      <c r="AA557" s="112"/>
      <c r="AB557" s="112"/>
      <c r="AC557" s="112"/>
      <c r="AD557" s="112"/>
    </row>
    <row r="558" ht="15.75" customHeight="1">
      <c r="F558" s="115"/>
      <c r="G558" s="112"/>
      <c r="H558" s="112"/>
      <c r="I558" s="112"/>
      <c r="N558" s="112"/>
      <c r="R558" s="112"/>
      <c r="V558" s="112"/>
      <c r="Z558" s="112"/>
      <c r="AA558" s="112"/>
      <c r="AB558" s="112"/>
      <c r="AC558" s="112"/>
      <c r="AD558" s="112"/>
    </row>
    <row r="559" ht="15.75" customHeight="1">
      <c r="F559" s="115"/>
      <c r="G559" s="112"/>
      <c r="H559" s="112"/>
      <c r="I559" s="112"/>
      <c r="N559" s="112"/>
      <c r="R559" s="112"/>
      <c r="V559" s="112"/>
      <c r="Z559" s="112"/>
      <c r="AA559" s="112"/>
      <c r="AB559" s="112"/>
      <c r="AC559" s="112"/>
      <c r="AD559" s="112"/>
    </row>
    <row r="560" ht="15.75" customHeight="1">
      <c r="F560" s="115"/>
      <c r="G560" s="112"/>
      <c r="H560" s="112"/>
      <c r="I560" s="112"/>
      <c r="N560" s="112"/>
      <c r="R560" s="112"/>
      <c r="V560" s="112"/>
      <c r="Z560" s="112"/>
      <c r="AA560" s="112"/>
      <c r="AB560" s="112"/>
      <c r="AC560" s="112"/>
      <c r="AD560" s="112"/>
    </row>
    <row r="561" ht="15.75" customHeight="1">
      <c r="F561" s="115"/>
      <c r="G561" s="112"/>
      <c r="H561" s="112"/>
      <c r="I561" s="112"/>
      <c r="N561" s="112"/>
      <c r="R561" s="112"/>
      <c r="V561" s="112"/>
      <c r="Z561" s="112"/>
      <c r="AA561" s="112"/>
      <c r="AB561" s="112"/>
      <c r="AC561" s="112"/>
      <c r="AD561" s="112"/>
    </row>
    <row r="562" ht="15.75" customHeight="1">
      <c r="F562" s="115"/>
      <c r="G562" s="112"/>
      <c r="H562" s="112"/>
      <c r="I562" s="112"/>
      <c r="N562" s="112"/>
      <c r="R562" s="112"/>
      <c r="V562" s="112"/>
      <c r="Z562" s="112"/>
      <c r="AA562" s="112"/>
      <c r="AB562" s="112"/>
      <c r="AC562" s="112"/>
      <c r="AD562" s="112"/>
    </row>
    <row r="563" ht="15.75" customHeight="1">
      <c r="F563" s="115"/>
      <c r="G563" s="112"/>
      <c r="H563" s="112"/>
      <c r="I563" s="112"/>
      <c r="N563" s="112"/>
      <c r="R563" s="112"/>
      <c r="V563" s="112"/>
      <c r="Z563" s="112"/>
      <c r="AA563" s="112"/>
      <c r="AB563" s="112"/>
      <c r="AC563" s="112"/>
      <c r="AD563" s="112"/>
    </row>
    <row r="564" ht="15.75" customHeight="1">
      <c r="F564" s="115"/>
      <c r="G564" s="112"/>
      <c r="H564" s="112"/>
      <c r="I564" s="112"/>
      <c r="N564" s="112"/>
      <c r="R564" s="112"/>
      <c r="V564" s="112"/>
      <c r="Z564" s="112"/>
      <c r="AA564" s="112"/>
      <c r="AB564" s="112"/>
      <c r="AC564" s="112"/>
      <c r="AD564" s="112"/>
    </row>
    <row r="565" ht="15.75" customHeight="1">
      <c r="F565" s="115"/>
      <c r="G565" s="112"/>
      <c r="H565" s="112"/>
      <c r="I565" s="112"/>
      <c r="N565" s="112"/>
      <c r="R565" s="112"/>
      <c r="V565" s="112"/>
      <c r="Z565" s="112"/>
      <c r="AA565" s="112"/>
      <c r="AB565" s="112"/>
      <c r="AC565" s="112"/>
      <c r="AD565" s="112"/>
    </row>
    <row r="566" ht="15.75" customHeight="1">
      <c r="F566" s="115"/>
      <c r="G566" s="112"/>
      <c r="H566" s="112"/>
      <c r="I566" s="112"/>
      <c r="N566" s="112"/>
      <c r="R566" s="112"/>
      <c r="V566" s="112"/>
      <c r="Z566" s="112"/>
      <c r="AA566" s="112"/>
      <c r="AB566" s="112"/>
      <c r="AC566" s="112"/>
      <c r="AD566" s="112"/>
    </row>
    <row r="567" ht="15.75" customHeight="1">
      <c r="F567" s="115"/>
      <c r="G567" s="112"/>
      <c r="H567" s="112"/>
      <c r="I567" s="112"/>
      <c r="N567" s="112"/>
      <c r="R567" s="112"/>
      <c r="V567" s="112"/>
      <c r="Z567" s="112"/>
      <c r="AA567" s="112"/>
      <c r="AB567" s="112"/>
      <c r="AC567" s="112"/>
      <c r="AD567" s="112"/>
    </row>
    <row r="568" ht="15.75" customHeight="1">
      <c r="F568" s="115"/>
      <c r="G568" s="112"/>
      <c r="H568" s="112"/>
      <c r="I568" s="112"/>
      <c r="N568" s="112"/>
      <c r="R568" s="112"/>
      <c r="V568" s="112"/>
      <c r="Z568" s="112"/>
      <c r="AA568" s="112"/>
      <c r="AB568" s="112"/>
      <c r="AC568" s="112"/>
      <c r="AD568" s="112"/>
    </row>
    <row r="569" ht="15.75" customHeight="1">
      <c r="F569" s="115"/>
      <c r="G569" s="112"/>
      <c r="H569" s="112"/>
      <c r="I569" s="112"/>
      <c r="N569" s="112"/>
      <c r="R569" s="112"/>
      <c r="V569" s="112"/>
      <c r="Z569" s="112"/>
      <c r="AA569" s="112"/>
      <c r="AB569" s="112"/>
      <c r="AC569" s="112"/>
      <c r="AD569" s="112"/>
    </row>
    <row r="570" ht="15.75" customHeight="1">
      <c r="F570" s="115"/>
      <c r="G570" s="112"/>
      <c r="H570" s="112"/>
      <c r="I570" s="112"/>
      <c r="N570" s="112"/>
      <c r="R570" s="112"/>
      <c r="V570" s="112"/>
      <c r="Z570" s="112"/>
      <c r="AA570" s="112"/>
      <c r="AB570" s="112"/>
      <c r="AC570" s="112"/>
      <c r="AD570" s="112"/>
    </row>
    <row r="571" ht="15.75" customHeight="1">
      <c r="F571" s="115"/>
      <c r="G571" s="112"/>
      <c r="H571" s="112"/>
      <c r="I571" s="112"/>
      <c r="N571" s="112"/>
      <c r="R571" s="112"/>
      <c r="V571" s="112"/>
      <c r="Z571" s="112"/>
      <c r="AA571" s="112"/>
      <c r="AB571" s="112"/>
      <c r="AC571" s="112"/>
      <c r="AD571" s="112"/>
    </row>
    <row r="572" ht="15.75" customHeight="1">
      <c r="F572" s="115"/>
      <c r="G572" s="112"/>
      <c r="H572" s="112"/>
      <c r="I572" s="112"/>
      <c r="N572" s="112"/>
      <c r="R572" s="112"/>
      <c r="V572" s="112"/>
      <c r="Z572" s="112"/>
      <c r="AA572" s="112"/>
      <c r="AB572" s="112"/>
      <c r="AC572" s="112"/>
      <c r="AD572" s="112"/>
    </row>
    <row r="573" ht="15.75" customHeight="1">
      <c r="F573" s="115"/>
      <c r="G573" s="112"/>
      <c r="H573" s="112"/>
      <c r="I573" s="112"/>
      <c r="N573" s="112"/>
      <c r="R573" s="112"/>
      <c r="V573" s="112"/>
      <c r="Z573" s="112"/>
      <c r="AA573" s="112"/>
      <c r="AB573" s="112"/>
      <c r="AC573" s="112"/>
      <c r="AD573" s="112"/>
    </row>
    <row r="574" ht="15.75" customHeight="1">
      <c r="F574" s="115"/>
      <c r="G574" s="112"/>
      <c r="H574" s="112"/>
      <c r="I574" s="112"/>
      <c r="N574" s="112"/>
      <c r="R574" s="112"/>
      <c r="V574" s="112"/>
      <c r="Z574" s="112"/>
      <c r="AA574" s="112"/>
      <c r="AB574" s="112"/>
      <c r="AC574" s="112"/>
      <c r="AD574" s="112"/>
    </row>
    <row r="575" ht="15.75" customHeight="1">
      <c r="F575" s="115"/>
      <c r="G575" s="112"/>
      <c r="H575" s="112"/>
      <c r="I575" s="112"/>
      <c r="N575" s="112"/>
      <c r="R575" s="112"/>
      <c r="V575" s="112"/>
      <c r="Z575" s="112"/>
      <c r="AA575" s="112"/>
      <c r="AB575" s="112"/>
      <c r="AC575" s="112"/>
      <c r="AD575" s="112"/>
    </row>
    <row r="576" ht="15.75" customHeight="1">
      <c r="F576" s="115"/>
      <c r="G576" s="112"/>
      <c r="H576" s="112"/>
      <c r="I576" s="112"/>
      <c r="N576" s="112"/>
      <c r="R576" s="112"/>
      <c r="V576" s="112"/>
      <c r="Z576" s="112"/>
      <c r="AA576" s="112"/>
      <c r="AB576" s="112"/>
      <c r="AC576" s="112"/>
      <c r="AD576" s="112"/>
    </row>
    <row r="577" ht="15.75" customHeight="1">
      <c r="F577" s="115"/>
      <c r="G577" s="112"/>
      <c r="H577" s="112"/>
      <c r="I577" s="112"/>
      <c r="N577" s="112"/>
      <c r="R577" s="112"/>
      <c r="V577" s="112"/>
      <c r="Z577" s="112"/>
      <c r="AA577" s="112"/>
      <c r="AB577" s="112"/>
      <c r="AC577" s="112"/>
      <c r="AD577" s="112"/>
    </row>
    <row r="578" ht="15.75" customHeight="1">
      <c r="F578" s="115"/>
      <c r="G578" s="112"/>
      <c r="H578" s="112"/>
      <c r="I578" s="112"/>
      <c r="N578" s="112"/>
      <c r="R578" s="112"/>
      <c r="V578" s="112"/>
      <c r="Z578" s="112"/>
      <c r="AA578" s="112"/>
      <c r="AB578" s="112"/>
      <c r="AC578" s="112"/>
      <c r="AD578" s="112"/>
    </row>
    <row r="579" ht="15.75" customHeight="1">
      <c r="F579" s="115"/>
      <c r="G579" s="112"/>
      <c r="H579" s="112"/>
      <c r="I579" s="112"/>
      <c r="N579" s="112"/>
      <c r="R579" s="112"/>
      <c r="V579" s="112"/>
      <c r="Z579" s="112"/>
      <c r="AA579" s="112"/>
      <c r="AB579" s="112"/>
      <c r="AC579" s="112"/>
      <c r="AD579" s="112"/>
    </row>
    <row r="580" ht="15.75" customHeight="1">
      <c r="F580" s="115"/>
      <c r="G580" s="112"/>
      <c r="H580" s="112"/>
      <c r="I580" s="112"/>
      <c r="N580" s="112"/>
      <c r="R580" s="112"/>
      <c r="V580" s="112"/>
      <c r="Z580" s="112"/>
      <c r="AA580" s="112"/>
      <c r="AB580" s="112"/>
      <c r="AC580" s="112"/>
      <c r="AD580" s="112"/>
    </row>
    <row r="581" ht="15.75" customHeight="1">
      <c r="F581" s="115"/>
      <c r="G581" s="112"/>
      <c r="H581" s="112"/>
      <c r="I581" s="112"/>
      <c r="N581" s="112"/>
      <c r="R581" s="112"/>
      <c r="V581" s="112"/>
      <c r="Z581" s="112"/>
      <c r="AA581" s="112"/>
      <c r="AB581" s="112"/>
      <c r="AC581" s="112"/>
      <c r="AD581" s="112"/>
    </row>
    <row r="582" ht="15.75" customHeight="1">
      <c r="F582" s="115"/>
      <c r="G582" s="112"/>
      <c r="H582" s="112"/>
      <c r="I582" s="112"/>
      <c r="N582" s="112"/>
      <c r="R582" s="112"/>
      <c r="V582" s="112"/>
      <c r="Z582" s="112"/>
      <c r="AA582" s="112"/>
      <c r="AB582" s="112"/>
      <c r="AC582" s="112"/>
      <c r="AD582" s="112"/>
    </row>
    <row r="583" ht="15.75" customHeight="1">
      <c r="F583" s="115"/>
      <c r="G583" s="112"/>
      <c r="H583" s="112"/>
      <c r="I583" s="112"/>
      <c r="N583" s="112"/>
      <c r="R583" s="112"/>
      <c r="V583" s="112"/>
      <c r="Z583" s="112"/>
      <c r="AA583" s="112"/>
      <c r="AB583" s="112"/>
      <c r="AC583" s="112"/>
      <c r="AD583" s="112"/>
    </row>
    <row r="584" ht="15.75" customHeight="1">
      <c r="F584" s="115"/>
      <c r="G584" s="112"/>
      <c r="H584" s="112"/>
      <c r="I584" s="112"/>
      <c r="N584" s="112"/>
      <c r="R584" s="112"/>
      <c r="V584" s="112"/>
      <c r="Z584" s="112"/>
      <c r="AA584" s="112"/>
      <c r="AB584" s="112"/>
      <c r="AC584" s="112"/>
      <c r="AD584" s="112"/>
    </row>
    <row r="585" ht="15.75" customHeight="1">
      <c r="F585" s="115"/>
      <c r="G585" s="112"/>
      <c r="H585" s="112"/>
      <c r="I585" s="112"/>
      <c r="N585" s="112"/>
      <c r="R585" s="112"/>
      <c r="V585" s="112"/>
      <c r="Z585" s="112"/>
      <c r="AA585" s="112"/>
      <c r="AB585" s="112"/>
      <c r="AC585" s="112"/>
      <c r="AD585" s="112"/>
    </row>
    <row r="586" ht="15.75" customHeight="1">
      <c r="F586" s="115"/>
      <c r="G586" s="112"/>
      <c r="H586" s="112"/>
      <c r="I586" s="112"/>
      <c r="N586" s="112"/>
      <c r="R586" s="112"/>
      <c r="V586" s="112"/>
      <c r="Z586" s="112"/>
      <c r="AA586" s="112"/>
      <c r="AB586" s="112"/>
      <c r="AC586" s="112"/>
      <c r="AD586" s="112"/>
    </row>
    <row r="587" ht="15.75" customHeight="1">
      <c r="F587" s="115"/>
      <c r="G587" s="112"/>
      <c r="H587" s="112"/>
      <c r="I587" s="112"/>
      <c r="N587" s="112"/>
      <c r="R587" s="112"/>
      <c r="V587" s="112"/>
      <c r="Z587" s="112"/>
      <c r="AA587" s="112"/>
      <c r="AB587" s="112"/>
      <c r="AC587" s="112"/>
      <c r="AD587" s="112"/>
    </row>
    <row r="588" ht="15.75" customHeight="1">
      <c r="F588" s="115"/>
      <c r="G588" s="112"/>
      <c r="H588" s="112"/>
      <c r="I588" s="112"/>
      <c r="N588" s="112"/>
      <c r="R588" s="112"/>
      <c r="V588" s="112"/>
      <c r="Z588" s="112"/>
      <c r="AA588" s="112"/>
      <c r="AB588" s="112"/>
      <c r="AC588" s="112"/>
      <c r="AD588" s="112"/>
    </row>
    <row r="589" ht="15.75" customHeight="1">
      <c r="F589" s="115"/>
      <c r="G589" s="112"/>
      <c r="H589" s="112"/>
      <c r="I589" s="112"/>
      <c r="N589" s="112"/>
      <c r="R589" s="112"/>
      <c r="V589" s="112"/>
      <c r="Z589" s="112"/>
      <c r="AA589" s="112"/>
      <c r="AB589" s="112"/>
      <c r="AC589" s="112"/>
      <c r="AD589" s="112"/>
    </row>
    <row r="590" ht="15.75" customHeight="1">
      <c r="F590" s="115"/>
      <c r="G590" s="112"/>
      <c r="H590" s="112"/>
      <c r="I590" s="112"/>
      <c r="N590" s="112"/>
      <c r="R590" s="112"/>
      <c r="V590" s="112"/>
      <c r="Z590" s="112"/>
      <c r="AA590" s="112"/>
      <c r="AB590" s="112"/>
      <c r="AC590" s="112"/>
      <c r="AD590" s="112"/>
    </row>
    <row r="591" ht="15.75" customHeight="1">
      <c r="F591" s="115"/>
      <c r="G591" s="112"/>
      <c r="H591" s="112"/>
      <c r="I591" s="112"/>
      <c r="N591" s="112"/>
      <c r="R591" s="112"/>
      <c r="V591" s="112"/>
      <c r="Z591" s="112"/>
      <c r="AA591" s="112"/>
      <c r="AB591" s="112"/>
      <c r="AC591" s="112"/>
      <c r="AD591" s="112"/>
    </row>
    <row r="592" ht="15.75" customHeight="1">
      <c r="F592" s="115"/>
      <c r="G592" s="112"/>
      <c r="H592" s="112"/>
      <c r="I592" s="112"/>
      <c r="N592" s="112"/>
      <c r="R592" s="112"/>
      <c r="V592" s="112"/>
      <c r="Z592" s="112"/>
      <c r="AA592" s="112"/>
      <c r="AB592" s="112"/>
      <c r="AC592" s="112"/>
      <c r="AD592" s="112"/>
    </row>
    <row r="593" ht="15.75" customHeight="1">
      <c r="F593" s="115"/>
      <c r="G593" s="112"/>
      <c r="H593" s="112"/>
      <c r="I593" s="112"/>
      <c r="N593" s="112"/>
      <c r="R593" s="112"/>
      <c r="V593" s="112"/>
      <c r="Z593" s="112"/>
      <c r="AA593" s="112"/>
      <c r="AB593" s="112"/>
      <c r="AC593" s="112"/>
      <c r="AD593" s="112"/>
    </row>
    <row r="594" ht="15.75" customHeight="1">
      <c r="F594" s="115"/>
      <c r="G594" s="112"/>
      <c r="H594" s="112"/>
      <c r="I594" s="112"/>
      <c r="N594" s="112"/>
      <c r="R594" s="112"/>
      <c r="V594" s="112"/>
      <c r="Z594" s="112"/>
      <c r="AA594" s="112"/>
      <c r="AB594" s="112"/>
      <c r="AC594" s="112"/>
      <c r="AD594" s="112"/>
    </row>
    <row r="595" ht="15.75" customHeight="1">
      <c r="F595" s="115"/>
      <c r="G595" s="112"/>
      <c r="H595" s="112"/>
      <c r="I595" s="112"/>
      <c r="N595" s="112"/>
      <c r="R595" s="112"/>
      <c r="V595" s="112"/>
      <c r="Z595" s="112"/>
      <c r="AA595" s="112"/>
      <c r="AB595" s="112"/>
      <c r="AC595" s="112"/>
      <c r="AD595" s="112"/>
    </row>
    <row r="596" ht="15.75" customHeight="1">
      <c r="F596" s="115"/>
      <c r="G596" s="112"/>
      <c r="H596" s="112"/>
      <c r="I596" s="112"/>
      <c r="N596" s="112"/>
      <c r="R596" s="112"/>
      <c r="V596" s="112"/>
      <c r="Z596" s="112"/>
      <c r="AA596" s="112"/>
      <c r="AB596" s="112"/>
      <c r="AC596" s="112"/>
      <c r="AD596" s="112"/>
    </row>
    <row r="597" ht="15.75" customHeight="1">
      <c r="F597" s="115"/>
      <c r="G597" s="112"/>
      <c r="H597" s="112"/>
      <c r="I597" s="112"/>
      <c r="N597" s="112"/>
      <c r="R597" s="112"/>
      <c r="V597" s="112"/>
      <c r="Z597" s="112"/>
      <c r="AA597" s="112"/>
      <c r="AB597" s="112"/>
      <c r="AC597" s="112"/>
      <c r="AD597" s="112"/>
    </row>
    <row r="598" ht="15.75" customHeight="1">
      <c r="F598" s="115"/>
      <c r="G598" s="112"/>
      <c r="H598" s="112"/>
      <c r="I598" s="112"/>
      <c r="N598" s="112"/>
      <c r="R598" s="112"/>
      <c r="V598" s="112"/>
      <c r="Z598" s="112"/>
      <c r="AA598" s="112"/>
      <c r="AB598" s="112"/>
      <c r="AC598" s="112"/>
      <c r="AD598" s="112"/>
    </row>
    <row r="599" ht="15.75" customHeight="1">
      <c r="F599" s="115"/>
      <c r="G599" s="112"/>
      <c r="H599" s="112"/>
      <c r="I599" s="112"/>
      <c r="N599" s="112"/>
      <c r="R599" s="112"/>
      <c r="V599" s="112"/>
      <c r="Z599" s="112"/>
      <c r="AA599" s="112"/>
      <c r="AB599" s="112"/>
      <c r="AC599" s="112"/>
      <c r="AD599" s="112"/>
    </row>
    <row r="600" ht="15.75" customHeight="1">
      <c r="F600" s="115"/>
      <c r="G600" s="112"/>
      <c r="H600" s="112"/>
      <c r="I600" s="112"/>
      <c r="N600" s="112"/>
      <c r="R600" s="112"/>
      <c r="V600" s="112"/>
      <c r="Z600" s="112"/>
      <c r="AA600" s="112"/>
      <c r="AB600" s="112"/>
      <c r="AC600" s="112"/>
      <c r="AD600" s="112"/>
    </row>
    <row r="601" ht="15.75" customHeight="1">
      <c r="F601" s="115"/>
      <c r="G601" s="112"/>
      <c r="H601" s="112"/>
      <c r="I601" s="112"/>
      <c r="N601" s="112"/>
      <c r="R601" s="112"/>
      <c r="V601" s="112"/>
      <c r="Z601" s="112"/>
      <c r="AA601" s="112"/>
      <c r="AB601" s="112"/>
      <c r="AC601" s="112"/>
      <c r="AD601" s="112"/>
    </row>
    <row r="602" ht="15.75" customHeight="1">
      <c r="F602" s="115"/>
      <c r="G602" s="112"/>
      <c r="H602" s="112"/>
      <c r="I602" s="112"/>
      <c r="N602" s="112"/>
      <c r="R602" s="112"/>
      <c r="V602" s="112"/>
      <c r="Z602" s="112"/>
      <c r="AA602" s="112"/>
      <c r="AB602" s="112"/>
      <c r="AC602" s="112"/>
      <c r="AD602" s="112"/>
    </row>
    <row r="603" ht="15.75" customHeight="1">
      <c r="F603" s="115"/>
      <c r="G603" s="112"/>
      <c r="H603" s="112"/>
      <c r="I603" s="112"/>
      <c r="N603" s="112"/>
      <c r="R603" s="112"/>
      <c r="V603" s="112"/>
      <c r="Z603" s="112"/>
      <c r="AA603" s="112"/>
      <c r="AB603" s="112"/>
      <c r="AC603" s="112"/>
      <c r="AD603" s="112"/>
    </row>
    <row r="604" ht="15.75" customHeight="1">
      <c r="F604" s="115"/>
      <c r="G604" s="112"/>
      <c r="H604" s="112"/>
      <c r="I604" s="112"/>
      <c r="N604" s="112"/>
      <c r="R604" s="112"/>
      <c r="V604" s="112"/>
      <c r="Z604" s="112"/>
      <c r="AA604" s="112"/>
      <c r="AB604" s="112"/>
      <c r="AC604" s="112"/>
      <c r="AD604" s="112"/>
    </row>
    <row r="605" ht="15.75" customHeight="1">
      <c r="F605" s="115"/>
      <c r="G605" s="112"/>
      <c r="H605" s="112"/>
      <c r="I605" s="112"/>
      <c r="N605" s="112"/>
      <c r="R605" s="112"/>
      <c r="V605" s="112"/>
      <c r="Z605" s="112"/>
      <c r="AA605" s="112"/>
      <c r="AB605" s="112"/>
      <c r="AC605" s="112"/>
      <c r="AD605" s="112"/>
    </row>
    <row r="606" ht="15.75" customHeight="1">
      <c r="F606" s="115"/>
      <c r="G606" s="112"/>
      <c r="H606" s="112"/>
      <c r="I606" s="112"/>
      <c r="N606" s="112"/>
      <c r="R606" s="112"/>
      <c r="V606" s="112"/>
      <c r="Z606" s="112"/>
      <c r="AA606" s="112"/>
      <c r="AB606" s="112"/>
      <c r="AC606" s="112"/>
      <c r="AD606" s="112"/>
    </row>
    <row r="607" ht="15.75" customHeight="1">
      <c r="F607" s="115"/>
      <c r="G607" s="112"/>
      <c r="H607" s="112"/>
      <c r="I607" s="112"/>
      <c r="N607" s="112"/>
      <c r="R607" s="112"/>
      <c r="V607" s="112"/>
      <c r="Z607" s="112"/>
      <c r="AA607" s="112"/>
      <c r="AB607" s="112"/>
      <c r="AC607" s="112"/>
      <c r="AD607" s="112"/>
    </row>
    <row r="608" ht="15.75" customHeight="1">
      <c r="F608" s="115"/>
      <c r="G608" s="112"/>
      <c r="H608" s="112"/>
      <c r="I608" s="112"/>
      <c r="N608" s="112"/>
      <c r="R608" s="112"/>
      <c r="V608" s="112"/>
      <c r="Z608" s="112"/>
      <c r="AA608" s="112"/>
      <c r="AB608" s="112"/>
      <c r="AC608" s="112"/>
      <c r="AD608" s="112"/>
    </row>
    <row r="609" ht="15.75" customHeight="1">
      <c r="F609" s="115"/>
      <c r="G609" s="112"/>
      <c r="H609" s="112"/>
      <c r="I609" s="112"/>
      <c r="N609" s="112"/>
      <c r="R609" s="112"/>
      <c r="V609" s="112"/>
      <c r="Z609" s="112"/>
      <c r="AA609" s="112"/>
      <c r="AB609" s="112"/>
      <c r="AC609" s="112"/>
      <c r="AD609" s="112"/>
    </row>
    <row r="610" ht="15.75" customHeight="1">
      <c r="F610" s="115"/>
      <c r="G610" s="112"/>
      <c r="H610" s="112"/>
      <c r="I610" s="112"/>
      <c r="N610" s="112"/>
      <c r="R610" s="112"/>
      <c r="V610" s="112"/>
      <c r="Z610" s="112"/>
      <c r="AA610" s="112"/>
      <c r="AB610" s="112"/>
      <c r="AC610" s="112"/>
      <c r="AD610" s="112"/>
    </row>
    <row r="611" ht="15.75" customHeight="1">
      <c r="F611" s="115"/>
      <c r="G611" s="112"/>
      <c r="H611" s="112"/>
      <c r="I611" s="112"/>
      <c r="N611" s="112"/>
      <c r="R611" s="112"/>
      <c r="V611" s="112"/>
      <c r="Z611" s="112"/>
      <c r="AA611" s="112"/>
      <c r="AB611" s="112"/>
      <c r="AC611" s="112"/>
      <c r="AD611" s="112"/>
    </row>
    <row r="612" ht="15.75" customHeight="1">
      <c r="F612" s="115"/>
      <c r="G612" s="112"/>
      <c r="H612" s="112"/>
      <c r="I612" s="112"/>
      <c r="N612" s="112"/>
      <c r="R612" s="112"/>
      <c r="V612" s="112"/>
      <c r="Z612" s="112"/>
      <c r="AA612" s="112"/>
      <c r="AB612" s="112"/>
      <c r="AC612" s="112"/>
      <c r="AD612" s="112"/>
    </row>
    <row r="613" ht="15.75" customHeight="1">
      <c r="F613" s="115"/>
      <c r="G613" s="112"/>
      <c r="H613" s="112"/>
      <c r="I613" s="112"/>
      <c r="N613" s="112"/>
      <c r="R613" s="112"/>
      <c r="V613" s="112"/>
      <c r="Z613" s="112"/>
      <c r="AA613" s="112"/>
      <c r="AB613" s="112"/>
      <c r="AC613" s="112"/>
      <c r="AD613" s="112"/>
    </row>
    <row r="614" ht="15.75" customHeight="1">
      <c r="F614" s="115"/>
      <c r="G614" s="112"/>
      <c r="H614" s="112"/>
      <c r="I614" s="112"/>
      <c r="N614" s="112"/>
      <c r="R614" s="112"/>
      <c r="V614" s="112"/>
      <c r="Z614" s="112"/>
      <c r="AA614" s="112"/>
      <c r="AB614" s="112"/>
      <c r="AC614" s="112"/>
      <c r="AD614" s="112"/>
    </row>
    <row r="615" ht="15.75" customHeight="1">
      <c r="F615" s="115"/>
      <c r="G615" s="112"/>
      <c r="H615" s="112"/>
      <c r="I615" s="112"/>
      <c r="N615" s="112"/>
      <c r="R615" s="112"/>
      <c r="V615" s="112"/>
      <c r="Z615" s="112"/>
      <c r="AA615" s="112"/>
      <c r="AB615" s="112"/>
      <c r="AC615" s="112"/>
      <c r="AD615" s="112"/>
    </row>
    <row r="616" ht="15.75" customHeight="1">
      <c r="F616" s="115"/>
      <c r="G616" s="112"/>
      <c r="H616" s="112"/>
      <c r="I616" s="112"/>
      <c r="N616" s="112"/>
      <c r="R616" s="112"/>
      <c r="V616" s="112"/>
      <c r="Z616" s="112"/>
      <c r="AA616" s="112"/>
      <c r="AB616" s="112"/>
      <c r="AC616" s="112"/>
      <c r="AD616" s="112"/>
    </row>
    <row r="617" ht="15.75" customHeight="1">
      <c r="F617" s="115"/>
      <c r="G617" s="112"/>
      <c r="H617" s="112"/>
      <c r="I617" s="112"/>
      <c r="N617" s="112"/>
      <c r="R617" s="112"/>
      <c r="V617" s="112"/>
      <c r="Z617" s="112"/>
      <c r="AA617" s="112"/>
      <c r="AB617" s="112"/>
      <c r="AC617" s="112"/>
      <c r="AD617" s="112"/>
    </row>
    <row r="618" ht="15.75" customHeight="1">
      <c r="F618" s="115"/>
      <c r="G618" s="112"/>
      <c r="H618" s="112"/>
      <c r="I618" s="112"/>
      <c r="N618" s="112"/>
      <c r="R618" s="112"/>
      <c r="V618" s="112"/>
      <c r="Z618" s="112"/>
      <c r="AA618" s="112"/>
      <c r="AB618" s="112"/>
      <c r="AC618" s="112"/>
      <c r="AD618" s="112"/>
    </row>
    <row r="619" ht="15.75" customHeight="1">
      <c r="F619" s="115"/>
      <c r="G619" s="112"/>
      <c r="H619" s="112"/>
      <c r="I619" s="112"/>
      <c r="N619" s="112"/>
      <c r="R619" s="112"/>
      <c r="V619" s="112"/>
      <c r="Z619" s="112"/>
      <c r="AA619" s="112"/>
      <c r="AB619" s="112"/>
      <c r="AC619" s="112"/>
      <c r="AD619" s="112"/>
    </row>
    <row r="620" ht="15.75" customHeight="1">
      <c r="F620" s="115"/>
      <c r="G620" s="112"/>
      <c r="H620" s="112"/>
      <c r="I620" s="112"/>
      <c r="N620" s="112"/>
      <c r="R620" s="112"/>
      <c r="V620" s="112"/>
      <c r="Z620" s="112"/>
      <c r="AA620" s="112"/>
      <c r="AB620" s="112"/>
      <c r="AC620" s="112"/>
      <c r="AD620" s="112"/>
    </row>
    <row r="621" ht="15.75" customHeight="1">
      <c r="F621" s="115"/>
      <c r="G621" s="112"/>
      <c r="H621" s="112"/>
      <c r="I621" s="112"/>
      <c r="N621" s="112"/>
      <c r="R621" s="112"/>
      <c r="V621" s="112"/>
      <c r="Z621" s="112"/>
      <c r="AA621" s="112"/>
      <c r="AB621" s="112"/>
      <c r="AC621" s="112"/>
      <c r="AD621" s="112"/>
    </row>
    <row r="622" ht="15.75" customHeight="1">
      <c r="F622" s="115"/>
      <c r="G622" s="112"/>
      <c r="H622" s="112"/>
      <c r="I622" s="112"/>
      <c r="N622" s="112"/>
      <c r="R622" s="112"/>
      <c r="V622" s="112"/>
      <c r="Z622" s="112"/>
      <c r="AA622" s="112"/>
      <c r="AB622" s="112"/>
      <c r="AC622" s="112"/>
      <c r="AD622" s="112"/>
    </row>
    <row r="623" ht="15.75" customHeight="1">
      <c r="F623" s="115"/>
      <c r="G623" s="112"/>
      <c r="H623" s="112"/>
      <c r="I623" s="112"/>
      <c r="N623" s="112"/>
      <c r="R623" s="112"/>
      <c r="V623" s="112"/>
      <c r="Z623" s="112"/>
      <c r="AA623" s="112"/>
      <c r="AB623" s="112"/>
      <c r="AC623" s="112"/>
      <c r="AD623" s="112"/>
    </row>
    <row r="624" ht="15.75" customHeight="1">
      <c r="F624" s="115"/>
      <c r="G624" s="112"/>
      <c r="H624" s="112"/>
      <c r="I624" s="112"/>
      <c r="N624" s="112"/>
      <c r="R624" s="112"/>
      <c r="V624" s="112"/>
      <c r="Z624" s="112"/>
      <c r="AA624" s="112"/>
      <c r="AB624" s="112"/>
      <c r="AC624" s="112"/>
      <c r="AD624" s="112"/>
    </row>
    <row r="625" ht="15.75" customHeight="1">
      <c r="F625" s="115"/>
      <c r="G625" s="112"/>
      <c r="H625" s="112"/>
      <c r="I625" s="112"/>
      <c r="N625" s="112"/>
      <c r="R625" s="112"/>
      <c r="V625" s="112"/>
      <c r="Z625" s="112"/>
      <c r="AA625" s="112"/>
      <c r="AB625" s="112"/>
      <c r="AC625" s="112"/>
      <c r="AD625" s="112"/>
    </row>
    <row r="626" ht="15.75" customHeight="1">
      <c r="F626" s="115"/>
      <c r="G626" s="112"/>
      <c r="H626" s="112"/>
      <c r="I626" s="112"/>
      <c r="N626" s="112"/>
      <c r="R626" s="112"/>
      <c r="V626" s="112"/>
      <c r="Z626" s="112"/>
      <c r="AA626" s="112"/>
      <c r="AB626" s="112"/>
      <c r="AC626" s="112"/>
      <c r="AD626" s="112"/>
    </row>
    <row r="627" ht="15.75" customHeight="1">
      <c r="F627" s="115"/>
      <c r="G627" s="112"/>
      <c r="H627" s="112"/>
      <c r="I627" s="112"/>
      <c r="N627" s="112"/>
      <c r="R627" s="112"/>
      <c r="V627" s="112"/>
      <c r="Z627" s="112"/>
      <c r="AA627" s="112"/>
      <c r="AB627" s="112"/>
      <c r="AC627" s="112"/>
      <c r="AD627" s="112"/>
    </row>
    <row r="628" ht="15.75" customHeight="1">
      <c r="F628" s="115"/>
      <c r="G628" s="112"/>
      <c r="H628" s="112"/>
      <c r="I628" s="112"/>
      <c r="N628" s="112"/>
      <c r="R628" s="112"/>
      <c r="V628" s="112"/>
      <c r="Z628" s="112"/>
      <c r="AA628" s="112"/>
      <c r="AB628" s="112"/>
      <c r="AC628" s="112"/>
      <c r="AD628" s="112"/>
    </row>
    <row r="629" ht="15.75" customHeight="1">
      <c r="F629" s="115"/>
      <c r="G629" s="112"/>
      <c r="H629" s="112"/>
      <c r="I629" s="112"/>
      <c r="N629" s="112"/>
      <c r="R629" s="112"/>
      <c r="V629" s="112"/>
      <c r="Z629" s="112"/>
      <c r="AA629" s="112"/>
      <c r="AB629" s="112"/>
      <c r="AC629" s="112"/>
      <c r="AD629" s="112"/>
    </row>
    <row r="630" ht="15.75" customHeight="1">
      <c r="F630" s="115"/>
      <c r="G630" s="112"/>
      <c r="H630" s="112"/>
      <c r="I630" s="112"/>
      <c r="N630" s="112"/>
      <c r="R630" s="112"/>
      <c r="V630" s="112"/>
      <c r="Z630" s="112"/>
      <c r="AA630" s="112"/>
      <c r="AB630" s="112"/>
      <c r="AC630" s="112"/>
      <c r="AD630" s="112"/>
    </row>
    <row r="631" ht="15.75" customHeight="1">
      <c r="F631" s="115"/>
      <c r="G631" s="112"/>
      <c r="H631" s="112"/>
      <c r="I631" s="112"/>
      <c r="N631" s="112"/>
      <c r="R631" s="112"/>
      <c r="V631" s="112"/>
      <c r="Z631" s="112"/>
      <c r="AA631" s="112"/>
      <c r="AB631" s="112"/>
      <c r="AC631" s="112"/>
      <c r="AD631" s="112"/>
    </row>
    <row r="632" ht="15.75" customHeight="1">
      <c r="F632" s="115"/>
      <c r="G632" s="112"/>
      <c r="H632" s="112"/>
      <c r="I632" s="112"/>
      <c r="N632" s="112"/>
      <c r="R632" s="112"/>
      <c r="V632" s="112"/>
      <c r="Z632" s="112"/>
      <c r="AA632" s="112"/>
      <c r="AB632" s="112"/>
      <c r="AC632" s="112"/>
      <c r="AD632" s="112"/>
    </row>
    <row r="633" ht="15.75" customHeight="1">
      <c r="F633" s="115"/>
      <c r="G633" s="112"/>
      <c r="H633" s="112"/>
      <c r="I633" s="112"/>
      <c r="N633" s="112"/>
      <c r="R633" s="112"/>
      <c r="V633" s="112"/>
      <c r="Z633" s="112"/>
      <c r="AA633" s="112"/>
      <c r="AB633" s="112"/>
      <c r="AC633" s="112"/>
      <c r="AD633" s="112"/>
    </row>
    <row r="634" ht="15.75" customHeight="1">
      <c r="F634" s="115"/>
      <c r="G634" s="112"/>
      <c r="H634" s="112"/>
      <c r="I634" s="112"/>
      <c r="N634" s="112"/>
      <c r="R634" s="112"/>
      <c r="V634" s="112"/>
      <c r="Z634" s="112"/>
      <c r="AA634" s="112"/>
      <c r="AB634" s="112"/>
      <c r="AC634" s="112"/>
      <c r="AD634" s="112"/>
    </row>
    <row r="635" ht="15.75" customHeight="1">
      <c r="F635" s="115"/>
      <c r="G635" s="112"/>
      <c r="H635" s="112"/>
      <c r="I635" s="112"/>
      <c r="N635" s="112"/>
      <c r="R635" s="112"/>
      <c r="V635" s="112"/>
      <c r="Z635" s="112"/>
      <c r="AA635" s="112"/>
      <c r="AB635" s="112"/>
      <c r="AC635" s="112"/>
      <c r="AD635" s="112"/>
    </row>
    <row r="636" ht="15.75" customHeight="1">
      <c r="F636" s="115"/>
      <c r="G636" s="112"/>
      <c r="H636" s="112"/>
      <c r="I636" s="112"/>
      <c r="N636" s="112"/>
      <c r="R636" s="112"/>
      <c r="V636" s="112"/>
      <c r="Z636" s="112"/>
      <c r="AA636" s="112"/>
      <c r="AB636" s="112"/>
      <c r="AC636" s="112"/>
      <c r="AD636" s="112"/>
    </row>
    <row r="637" ht="15.75" customHeight="1">
      <c r="F637" s="115"/>
      <c r="G637" s="112"/>
      <c r="H637" s="112"/>
      <c r="I637" s="112"/>
      <c r="N637" s="112"/>
      <c r="R637" s="112"/>
      <c r="V637" s="112"/>
      <c r="Z637" s="112"/>
      <c r="AA637" s="112"/>
      <c r="AB637" s="112"/>
      <c r="AC637" s="112"/>
      <c r="AD637" s="112"/>
    </row>
    <row r="638" ht="15.75" customHeight="1">
      <c r="F638" s="115"/>
      <c r="G638" s="112"/>
      <c r="H638" s="112"/>
      <c r="I638" s="112"/>
      <c r="N638" s="112"/>
      <c r="R638" s="112"/>
      <c r="V638" s="112"/>
      <c r="Z638" s="112"/>
      <c r="AA638" s="112"/>
      <c r="AB638" s="112"/>
      <c r="AC638" s="112"/>
      <c r="AD638" s="112"/>
    </row>
    <row r="639" ht="15.75" customHeight="1">
      <c r="F639" s="115"/>
      <c r="G639" s="112"/>
      <c r="H639" s="112"/>
      <c r="I639" s="112"/>
      <c r="N639" s="112"/>
      <c r="R639" s="112"/>
      <c r="V639" s="112"/>
      <c r="Z639" s="112"/>
      <c r="AA639" s="112"/>
      <c r="AB639" s="112"/>
      <c r="AC639" s="112"/>
      <c r="AD639" s="112"/>
    </row>
    <row r="640" ht="15.75" customHeight="1">
      <c r="F640" s="115"/>
      <c r="G640" s="112"/>
      <c r="H640" s="112"/>
      <c r="I640" s="112"/>
      <c r="N640" s="112"/>
      <c r="R640" s="112"/>
      <c r="V640" s="112"/>
      <c r="Z640" s="112"/>
      <c r="AA640" s="112"/>
      <c r="AB640" s="112"/>
      <c r="AC640" s="112"/>
      <c r="AD640" s="112"/>
    </row>
    <row r="641" ht="15.75" customHeight="1">
      <c r="F641" s="115"/>
      <c r="G641" s="112"/>
      <c r="H641" s="112"/>
      <c r="I641" s="112"/>
      <c r="N641" s="112"/>
      <c r="R641" s="112"/>
      <c r="V641" s="112"/>
      <c r="Z641" s="112"/>
      <c r="AA641" s="112"/>
      <c r="AB641" s="112"/>
      <c r="AC641" s="112"/>
      <c r="AD641" s="112"/>
    </row>
    <row r="642" ht="15.75" customHeight="1">
      <c r="F642" s="115"/>
      <c r="G642" s="112"/>
      <c r="H642" s="112"/>
      <c r="I642" s="112"/>
      <c r="N642" s="112"/>
      <c r="R642" s="112"/>
      <c r="V642" s="112"/>
      <c r="Z642" s="112"/>
      <c r="AA642" s="112"/>
      <c r="AB642" s="112"/>
      <c r="AC642" s="112"/>
      <c r="AD642" s="112"/>
    </row>
    <row r="643" ht="15.75" customHeight="1">
      <c r="F643" s="115"/>
      <c r="G643" s="112"/>
      <c r="H643" s="112"/>
      <c r="I643" s="112"/>
      <c r="N643" s="112"/>
      <c r="R643" s="112"/>
      <c r="V643" s="112"/>
      <c r="Z643" s="112"/>
      <c r="AA643" s="112"/>
      <c r="AB643" s="112"/>
      <c r="AC643" s="112"/>
      <c r="AD643" s="112"/>
    </row>
    <row r="644" ht="15.75" customHeight="1">
      <c r="F644" s="115"/>
      <c r="G644" s="112"/>
      <c r="H644" s="112"/>
      <c r="I644" s="112"/>
      <c r="N644" s="112"/>
      <c r="R644" s="112"/>
      <c r="V644" s="112"/>
      <c r="Z644" s="112"/>
      <c r="AA644" s="112"/>
      <c r="AB644" s="112"/>
      <c r="AC644" s="112"/>
      <c r="AD644" s="112"/>
    </row>
    <row r="645" ht="15.75" customHeight="1">
      <c r="F645" s="115"/>
      <c r="G645" s="112"/>
      <c r="H645" s="112"/>
      <c r="I645" s="112"/>
      <c r="N645" s="112"/>
      <c r="R645" s="112"/>
      <c r="V645" s="112"/>
      <c r="Z645" s="112"/>
      <c r="AA645" s="112"/>
      <c r="AB645" s="112"/>
      <c r="AC645" s="112"/>
      <c r="AD645" s="112"/>
    </row>
    <row r="646" ht="15.75" customHeight="1">
      <c r="F646" s="115"/>
      <c r="G646" s="112"/>
      <c r="H646" s="112"/>
      <c r="I646" s="112"/>
      <c r="N646" s="112"/>
      <c r="R646" s="112"/>
      <c r="V646" s="112"/>
      <c r="Z646" s="112"/>
      <c r="AA646" s="112"/>
      <c r="AB646" s="112"/>
      <c r="AC646" s="112"/>
      <c r="AD646" s="112"/>
    </row>
    <row r="647" ht="15.75" customHeight="1">
      <c r="F647" s="115"/>
      <c r="G647" s="112"/>
      <c r="H647" s="112"/>
      <c r="I647" s="112"/>
      <c r="N647" s="112"/>
      <c r="R647" s="112"/>
      <c r="V647" s="112"/>
      <c r="Z647" s="112"/>
      <c r="AA647" s="112"/>
      <c r="AB647" s="112"/>
      <c r="AC647" s="112"/>
      <c r="AD647" s="112"/>
    </row>
    <row r="648" ht="15.75" customHeight="1">
      <c r="F648" s="115"/>
      <c r="G648" s="112"/>
      <c r="H648" s="112"/>
      <c r="I648" s="112"/>
      <c r="N648" s="112"/>
      <c r="R648" s="112"/>
      <c r="V648" s="112"/>
      <c r="Z648" s="112"/>
      <c r="AA648" s="112"/>
      <c r="AB648" s="112"/>
      <c r="AC648" s="112"/>
      <c r="AD648" s="112"/>
    </row>
    <row r="649" ht="15.75" customHeight="1">
      <c r="F649" s="115"/>
      <c r="G649" s="112"/>
      <c r="H649" s="112"/>
      <c r="I649" s="112"/>
      <c r="N649" s="112"/>
      <c r="R649" s="112"/>
      <c r="V649" s="112"/>
      <c r="Z649" s="112"/>
      <c r="AA649" s="112"/>
      <c r="AB649" s="112"/>
      <c r="AC649" s="112"/>
      <c r="AD649" s="112"/>
    </row>
    <row r="650" ht="15.75" customHeight="1">
      <c r="F650" s="115"/>
      <c r="G650" s="112"/>
      <c r="H650" s="112"/>
      <c r="I650" s="112"/>
      <c r="N650" s="112"/>
      <c r="R650" s="112"/>
      <c r="V650" s="112"/>
      <c r="Z650" s="112"/>
      <c r="AA650" s="112"/>
      <c r="AB650" s="112"/>
      <c r="AC650" s="112"/>
      <c r="AD650" s="112"/>
    </row>
    <row r="651" ht="15.75" customHeight="1">
      <c r="F651" s="115"/>
      <c r="G651" s="112"/>
      <c r="H651" s="112"/>
      <c r="I651" s="112"/>
      <c r="N651" s="112"/>
      <c r="R651" s="112"/>
      <c r="V651" s="112"/>
      <c r="Z651" s="112"/>
      <c r="AA651" s="112"/>
      <c r="AB651" s="112"/>
      <c r="AC651" s="112"/>
      <c r="AD651" s="112"/>
    </row>
    <row r="652" ht="15.75" customHeight="1">
      <c r="F652" s="115"/>
      <c r="G652" s="112"/>
      <c r="H652" s="112"/>
      <c r="I652" s="112"/>
      <c r="N652" s="112"/>
      <c r="R652" s="112"/>
      <c r="V652" s="112"/>
      <c r="Z652" s="112"/>
      <c r="AA652" s="112"/>
      <c r="AB652" s="112"/>
      <c r="AC652" s="112"/>
      <c r="AD652" s="112"/>
    </row>
    <row r="653" ht="15.75" customHeight="1">
      <c r="F653" s="115"/>
      <c r="G653" s="112"/>
      <c r="H653" s="112"/>
      <c r="I653" s="112"/>
      <c r="N653" s="112"/>
      <c r="R653" s="112"/>
      <c r="V653" s="112"/>
      <c r="Z653" s="112"/>
      <c r="AA653" s="112"/>
      <c r="AB653" s="112"/>
      <c r="AC653" s="112"/>
      <c r="AD653" s="112"/>
    </row>
    <row r="654" ht="15.75" customHeight="1">
      <c r="F654" s="115"/>
      <c r="G654" s="112"/>
      <c r="H654" s="112"/>
      <c r="I654" s="112"/>
      <c r="N654" s="112"/>
      <c r="R654" s="112"/>
      <c r="V654" s="112"/>
      <c r="Z654" s="112"/>
      <c r="AA654" s="112"/>
      <c r="AB654" s="112"/>
      <c r="AC654" s="112"/>
      <c r="AD654" s="112"/>
    </row>
    <row r="655" ht="15.75" customHeight="1">
      <c r="F655" s="115"/>
      <c r="G655" s="112"/>
      <c r="H655" s="112"/>
      <c r="I655" s="112"/>
      <c r="N655" s="112"/>
      <c r="R655" s="112"/>
      <c r="V655" s="112"/>
      <c r="Z655" s="112"/>
      <c r="AA655" s="112"/>
      <c r="AB655" s="112"/>
      <c r="AC655" s="112"/>
      <c r="AD655" s="112"/>
    </row>
    <row r="656" ht="15.75" customHeight="1">
      <c r="F656" s="115"/>
      <c r="G656" s="112"/>
      <c r="H656" s="112"/>
      <c r="I656" s="112"/>
      <c r="N656" s="112"/>
      <c r="R656" s="112"/>
      <c r="V656" s="112"/>
      <c r="Z656" s="112"/>
      <c r="AA656" s="112"/>
      <c r="AB656" s="112"/>
      <c r="AC656" s="112"/>
      <c r="AD656" s="112"/>
    </row>
    <row r="657" ht="15.75" customHeight="1">
      <c r="F657" s="115"/>
      <c r="G657" s="112"/>
      <c r="H657" s="112"/>
      <c r="I657" s="112"/>
      <c r="N657" s="112"/>
      <c r="R657" s="112"/>
      <c r="V657" s="112"/>
      <c r="Z657" s="112"/>
      <c r="AA657" s="112"/>
      <c r="AB657" s="112"/>
      <c r="AC657" s="112"/>
      <c r="AD657" s="112"/>
    </row>
    <row r="658" ht="15.75" customHeight="1">
      <c r="F658" s="115"/>
      <c r="G658" s="112"/>
      <c r="H658" s="112"/>
      <c r="I658" s="112"/>
      <c r="N658" s="112"/>
      <c r="R658" s="112"/>
      <c r="V658" s="112"/>
      <c r="Z658" s="112"/>
      <c r="AA658" s="112"/>
      <c r="AB658" s="112"/>
      <c r="AC658" s="112"/>
      <c r="AD658" s="112"/>
    </row>
    <row r="659" ht="15.75" customHeight="1">
      <c r="F659" s="115"/>
      <c r="G659" s="112"/>
      <c r="H659" s="112"/>
      <c r="I659" s="112"/>
      <c r="N659" s="112"/>
      <c r="R659" s="112"/>
      <c r="V659" s="112"/>
      <c r="Z659" s="112"/>
      <c r="AA659" s="112"/>
      <c r="AB659" s="112"/>
      <c r="AC659" s="112"/>
      <c r="AD659" s="112"/>
    </row>
    <row r="660" ht="15.75" customHeight="1">
      <c r="F660" s="115"/>
      <c r="G660" s="112"/>
      <c r="H660" s="112"/>
      <c r="I660" s="112"/>
      <c r="N660" s="112"/>
      <c r="R660" s="112"/>
      <c r="V660" s="112"/>
      <c r="Z660" s="112"/>
      <c r="AA660" s="112"/>
      <c r="AB660" s="112"/>
      <c r="AC660" s="112"/>
      <c r="AD660" s="112"/>
    </row>
    <row r="661" ht="15.75" customHeight="1">
      <c r="F661" s="115"/>
      <c r="G661" s="112"/>
      <c r="H661" s="112"/>
      <c r="I661" s="112"/>
      <c r="N661" s="112"/>
      <c r="R661" s="112"/>
      <c r="V661" s="112"/>
      <c r="Z661" s="112"/>
      <c r="AA661" s="112"/>
      <c r="AB661" s="112"/>
      <c r="AC661" s="112"/>
      <c r="AD661" s="112"/>
    </row>
    <row r="662" ht="15.75" customHeight="1">
      <c r="F662" s="115"/>
      <c r="G662" s="112"/>
      <c r="H662" s="112"/>
      <c r="I662" s="112"/>
      <c r="N662" s="112"/>
      <c r="R662" s="112"/>
      <c r="V662" s="112"/>
      <c r="Z662" s="112"/>
      <c r="AA662" s="112"/>
      <c r="AB662" s="112"/>
      <c r="AC662" s="112"/>
      <c r="AD662" s="112"/>
    </row>
    <row r="663" ht="15.75" customHeight="1">
      <c r="F663" s="115"/>
      <c r="G663" s="112"/>
      <c r="H663" s="112"/>
      <c r="I663" s="112"/>
      <c r="N663" s="112"/>
      <c r="R663" s="112"/>
      <c r="V663" s="112"/>
      <c r="Z663" s="112"/>
      <c r="AA663" s="112"/>
      <c r="AB663" s="112"/>
      <c r="AC663" s="112"/>
      <c r="AD663" s="112"/>
    </row>
    <row r="664" ht="15.75" customHeight="1">
      <c r="F664" s="115"/>
      <c r="G664" s="112"/>
      <c r="H664" s="112"/>
      <c r="I664" s="112"/>
      <c r="N664" s="112"/>
      <c r="R664" s="112"/>
      <c r="V664" s="112"/>
      <c r="Z664" s="112"/>
      <c r="AA664" s="112"/>
      <c r="AB664" s="112"/>
      <c r="AC664" s="112"/>
      <c r="AD664" s="112"/>
    </row>
    <row r="665" ht="15.75" customHeight="1">
      <c r="F665" s="115"/>
      <c r="G665" s="112"/>
      <c r="H665" s="112"/>
      <c r="I665" s="112"/>
      <c r="N665" s="112"/>
      <c r="R665" s="112"/>
      <c r="V665" s="112"/>
      <c r="Z665" s="112"/>
      <c r="AA665" s="112"/>
      <c r="AB665" s="112"/>
      <c r="AC665" s="112"/>
      <c r="AD665" s="112"/>
    </row>
    <row r="666" ht="15.75" customHeight="1">
      <c r="F666" s="115"/>
      <c r="G666" s="112"/>
      <c r="H666" s="112"/>
      <c r="I666" s="112"/>
      <c r="N666" s="112"/>
      <c r="R666" s="112"/>
      <c r="V666" s="112"/>
      <c r="Z666" s="112"/>
      <c r="AA666" s="112"/>
      <c r="AB666" s="112"/>
      <c r="AC666" s="112"/>
      <c r="AD666" s="112"/>
    </row>
    <row r="667" ht="15.75" customHeight="1">
      <c r="F667" s="115"/>
      <c r="G667" s="112"/>
      <c r="H667" s="112"/>
      <c r="I667" s="112"/>
      <c r="N667" s="112"/>
      <c r="R667" s="112"/>
      <c r="V667" s="112"/>
      <c r="Z667" s="112"/>
      <c r="AA667" s="112"/>
      <c r="AB667" s="112"/>
      <c r="AC667" s="112"/>
      <c r="AD667" s="112"/>
    </row>
    <row r="668" ht="15.75" customHeight="1">
      <c r="F668" s="115"/>
      <c r="G668" s="112"/>
      <c r="H668" s="112"/>
      <c r="I668" s="112"/>
      <c r="N668" s="112"/>
      <c r="R668" s="112"/>
      <c r="V668" s="112"/>
      <c r="Z668" s="112"/>
      <c r="AA668" s="112"/>
      <c r="AB668" s="112"/>
      <c r="AC668" s="112"/>
      <c r="AD668" s="112"/>
    </row>
    <row r="669" ht="15.75" customHeight="1">
      <c r="F669" s="115"/>
      <c r="G669" s="112"/>
      <c r="H669" s="112"/>
      <c r="I669" s="112"/>
      <c r="N669" s="112"/>
      <c r="R669" s="112"/>
      <c r="V669" s="112"/>
      <c r="Z669" s="112"/>
      <c r="AA669" s="112"/>
      <c r="AB669" s="112"/>
      <c r="AC669" s="112"/>
      <c r="AD669" s="112"/>
    </row>
    <row r="670" ht="15.75" customHeight="1">
      <c r="F670" s="115"/>
      <c r="G670" s="112"/>
      <c r="H670" s="112"/>
      <c r="I670" s="112"/>
      <c r="N670" s="112"/>
      <c r="R670" s="112"/>
      <c r="V670" s="112"/>
      <c r="Z670" s="112"/>
      <c r="AA670" s="112"/>
      <c r="AB670" s="112"/>
      <c r="AC670" s="112"/>
      <c r="AD670" s="112"/>
    </row>
    <row r="671" ht="15.75" customHeight="1">
      <c r="F671" s="115"/>
      <c r="G671" s="112"/>
      <c r="H671" s="112"/>
      <c r="I671" s="112"/>
      <c r="N671" s="112"/>
      <c r="R671" s="112"/>
      <c r="V671" s="112"/>
      <c r="Z671" s="112"/>
      <c r="AA671" s="112"/>
      <c r="AB671" s="112"/>
      <c r="AC671" s="112"/>
      <c r="AD671" s="112"/>
    </row>
    <row r="672" ht="15.75" customHeight="1">
      <c r="F672" s="115"/>
      <c r="G672" s="112"/>
      <c r="H672" s="112"/>
      <c r="I672" s="112"/>
      <c r="N672" s="112"/>
      <c r="R672" s="112"/>
      <c r="V672" s="112"/>
      <c r="Z672" s="112"/>
      <c r="AA672" s="112"/>
      <c r="AB672" s="112"/>
      <c r="AC672" s="112"/>
      <c r="AD672" s="112"/>
    </row>
    <row r="673" ht="15.75" customHeight="1">
      <c r="F673" s="115"/>
      <c r="G673" s="112"/>
      <c r="H673" s="112"/>
      <c r="I673" s="112"/>
      <c r="N673" s="112"/>
      <c r="R673" s="112"/>
      <c r="V673" s="112"/>
      <c r="Z673" s="112"/>
      <c r="AA673" s="112"/>
      <c r="AB673" s="112"/>
      <c r="AC673" s="112"/>
      <c r="AD673" s="112"/>
    </row>
    <row r="674" ht="15.75" customHeight="1">
      <c r="F674" s="115"/>
      <c r="G674" s="112"/>
      <c r="H674" s="112"/>
      <c r="I674" s="112"/>
      <c r="N674" s="112"/>
      <c r="R674" s="112"/>
      <c r="V674" s="112"/>
      <c r="Z674" s="112"/>
      <c r="AA674" s="112"/>
      <c r="AB674" s="112"/>
      <c r="AC674" s="112"/>
      <c r="AD674" s="112"/>
    </row>
    <row r="675" ht="15.75" customHeight="1">
      <c r="F675" s="115"/>
      <c r="G675" s="112"/>
      <c r="H675" s="112"/>
      <c r="I675" s="112"/>
      <c r="N675" s="112"/>
      <c r="R675" s="112"/>
      <c r="V675" s="112"/>
      <c r="Z675" s="112"/>
      <c r="AA675" s="112"/>
      <c r="AB675" s="112"/>
      <c r="AC675" s="112"/>
      <c r="AD675" s="112"/>
    </row>
    <row r="676" ht="15.75" customHeight="1">
      <c r="F676" s="115"/>
      <c r="G676" s="112"/>
      <c r="H676" s="112"/>
      <c r="I676" s="112"/>
      <c r="N676" s="112"/>
      <c r="R676" s="112"/>
      <c r="V676" s="112"/>
      <c r="Z676" s="112"/>
      <c r="AA676" s="112"/>
      <c r="AB676" s="112"/>
      <c r="AC676" s="112"/>
      <c r="AD676" s="112"/>
    </row>
    <row r="677" ht="15.75" customHeight="1">
      <c r="F677" s="115"/>
      <c r="G677" s="112"/>
      <c r="H677" s="112"/>
      <c r="I677" s="112"/>
      <c r="N677" s="112"/>
      <c r="R677" s="112"/>
      <c r="V677" s="112"/>
      <c r="Z677" s="112"/>
      <c r="AA677" s="112"/>
      <c r="AB677" s="112"/>
      <c r="AC677" s="112"/>
      <c r="AD677" s="112"/>
    </row>
    <row r="678" ht="15.75" customHeight="1">
      <c r="F678" s="115"/>
      <c r="G678" s="112"/>
      <c r="H678" s="112"/>
      <c r="I678" s="112"/>
      <c r="N678" s="112"/>
      <c r="R678" s="112"/>
      <c r="V678" s="112"/>
      <c r="Z678" s="112"/>
      <c r="AA678" s="112"/>
      <c r="AB678" s="112"/>
      <c r="AC678" s="112"/>
      <c r="AD678" s="112"/>
    </row>
    <row r="679" ht="15.75" customHeight="1">
      <c r="F679" s="115"/>
      <c r="G679" s="112"/>
      <c r="H679" s="112"/>
      <c r="I679" s="112"/>
      <c r="N679" s="112"/>
      <c r="R679" s="112"/>
      <c r="V679" s="112"/>
      <c r="Z679" s="112"/>
      <c r="AA679" s="112"/>
      <c r="AB679" s="112"/>
      <c r="AC679" s="112"/>
      <c r="AD679" s="112"/>
    </row>
    <row r="680" ht="15.75" customHeight="1">
      <c r="F680" s="115"/>
      <c r="G680" s="112"/>
      <c r="H680" s="112"/>
      <c r="I680" s="112"/>
      <c r="N680" s="112"/>
      <c r="R680" s="112"/>
      <c r="V680" s="112"/>
      <c r="Z680" s="112"/>
      <c r="AA680" s="112"/>
      <c r="AB680" s="112"/>
      <c r="AC680" s="112"/>
      <c r="AD680" s="112"/>
    </row>
    <row r="681" ht="15.75" customHeight="1">
      <c r="F681" s="115"/>
      <c r="G681" s="112"/>
      <c r="H681" s="112"/>
      <c r="I681" s="112"/>
      <c r="N681" s="112"/>
      <c r="R681" s="112"/>
      <c r="V681" s="112"/>
      <c r="Z681" s="112"/>
      <c r="AA681" s="112"/>
      <c r="AB681" s="112"/>
      <c r="AC681" s="112"/>
      <c r="AD681" s="112"/>
    </row>
    <row r="682" ht="15.75" customHeight="1">
      <c r="F682" s="115"/>
      <c r="G682" s="112"/>
      <c r="H682" s="112"/>
      <c r="I682" s="112"/>
      <c r="N682" s="112"/>
      <c r="R682" s="112"/>
      <c r="V682" s="112"/>
      <c r="Z682" s="112"/>
      <c r="AA682" s="112"/>
      <c r="AB682" s="112"/>
      <c r="AC682" s="112"/>
      <c r="AD682" s="112"/>
    </row>
    <row r="683" ht="15.75" customHeight="1">
      <c r="F683" s="115"/>
      <c r="G683" s="112"/>
      <c r="H683" s="112"/>
      <c r="I683" s="112"/>
      <c r="N683" s="112"/>
      <c r="R683" s="112"/>
      <c r="V683" s="112"/>
      <c r="Z683" s="112"/>
      <c r="AA683" s="112"/>
      <c r="AB683" s="112"/>
      <c r="AC683" s="112"/>
      <c r="AD683" s="112"/>
    </row>
    <row r="684" ht="15.75" customHeight="1">
      <c r="F684" s="115"/>
      <c r="G684" s="112"/>
      <c r="H684" s="112"/>
      <c r="I684" s="112"/>
      <c r="N684" s="112"/>
      <c r="R684" s="112"/>
      <c r="V684" s="112"/>
      <c r="Z684" s="112"/>
      <c r="AA684" s="112"/>
      <c r="AB684" s="112"/>
      <c r="AC684" s="112"/>
      <c r="AD684" s="112"/>
    </row>
    <row r="685" ht="15.75" customHeight="1">
      <c r="F685" s="115"/>
      <c r="G685" s="112"/>
      <c r="H685" s="112"/>
      <c r="I685" s="112"/>
      <c r="N685" s="112"/>
      <c r="R685" s="112"/>
      <c r="V685" s="112"/>
      <c r="Z685" s="112"/>
      <c r="AA685" s="112"/>
      <c r="AB685" s="112"/>
      <c r="AC685" s="112"/>
      <c r="AD685" s="112"/>
    </row>
    <row r="686" ht="15.75" customHeight="1">
      <c r="F686" s="115"/>
      <c r="G686" s="112"/>
      <c r="H686" s="112"/>
      <c r="I686" s="112"/>
      <c r="N686" s="112"/>
      <c r="R686" s="112"/>
      <c r="V686" s="112"/>
      <c r="Z686" s="112"/>
      <c r="AA686" s="112"/>
      <c r="AB686" s="112"/>
      <c r="AC686" s="112"/>
      <c r="AD686" s="112"/>
    </row>
    <row r="687" ht="15.75" customHeight="1">
      <c r="F687" s="115"/>
      <c r="G687" s="112"/>
      <c r="H687" s="112"/>
      <c r="I687" s="112"/>
      <c r="N687" s="112"/>
      <c r="R687" s="112"/>
      <c r="V687" s="112"/>
      <c r="Z687" s="112"/>
      <c r="AA687" s="112"/>
      <c r="AB687" s="112"/>
      <c r="AC687" s="112"/>
      <c r="AD687" s="112"/>
    </row>
    <row r="688" ht="15.75" customHeight="1">
      <c r="F688" s="115"/>
      <c r="G688" s="112"/>
      <c r="H688" s="112"/>
      <c r="I688" s="112"/>
      <c r="N688" s="112"/>
      <c r="R688" s="112"/>
      <c r="V688" s="112"/>
      <c r="Z688" s="112"/>
      <c r="AA688" s="112"/>
      <c r="AB688" s="112"/>
      <c r="AC688" s="112"/>
      <c r="AD688" s="112"/>
    </row>
    <row r="689" ht="15.75" customHeight="1">
      <c r="F689" s="115"/>
      <c r="G689" s="112"/>
      <c r="H689" s="112"/>
      <c r="I689" s="112"/>
      <c r="N689" s="112"/>
      <c r="R689" s="112"/>
      <c r="V689" s="112"/>
      <c r="Z689" s="112"/>
      <c r="AA689" s="112"/>
      <c r="AB689" s="112"/>
      <c r="AC689" s="112"/>
      <c r="AD689" s="112"/>
    </row>
    <row r="690" ht="15.75" customHeight="1">
      <c r="F690" s="115"/>
      <c r="G690" s="112"/>
      <c r="H690" s="112"/>
      <c r="I690" s="112"/>
      <c r="N690" s="112"/>
      <c r="R690" s="112"/>
      <c r="V690" s="112"/>
      <c r="Z690" s="112"/>
      <c r="AA690" s="112"/>
      <c r="AB690" s="112"/>
      <c r="AC690" s="112"/>
      <c r="AD690" s="112"/>
    </row>
    <row r="691" ht="15.75" customHeight="1">
      <c r="F691" s="115"/>
      <c r="G691" s="112"/>
      <c r="H691" s="112"/>
      <c r="I691" s="112"/>
      <c r="N691" s="112"/>
      <c r="R691" s="112"/>
      <c r="V691" s="112"/>
      <c r="Z691" s="112"/>
      <c r="AA691" s="112"/>
      <c r="AB691" s="112"/>
      <c r="AC691" s="112"/>
      <c r="AD691" s="112"/>
    </row>
    <row r="692" ht="15.75" customHeight="1">
      <c r="F692" s="115"/>
      <c r="G692" s="112"/>
      <c r="H692" s="112"/>
      <c r="I692" s="112"/>
      <c r="N692" s="112"/>
      <c r="R692" s="112"/>
      <c r="V692" s="112"/>
      <c r="Z692" s="112"/>
      <c r="AA692" s="112"/>
      <c r="AB692" s="112"/>
      <c r="AC692" s="112"/>
      <c r="AD692" s="112"/>
    </row>
    <row r="693" ht="15.75" customHeight="1">
      <c r="F693" s="115"/>
      <c r="G693" s="112"/>
      <c r="H693" s="112"/>
      <c r="I693" s="112"/>
      <c r="N693" s="112"/>
      <c r="R693" s="112"/>
      <c r="V693" s="112"/>
      <c r="Z693" s="112"/>
      <c r="AA693" s="112"/>
      <c r="AB693" s="112"/>
      <c r="AC693" s="112"/>
      <c r="AD693" s="112"/>
    </row>
    <row r="694" ht="15.75" customHeight="1">
      <c r="F694" s="115"/>
      <c r="G694" s="112"/>
      <c r="H694" s="112"/>
      <c r="I694" s="112"/>
      <c r="N694" s="112"/>
      <c r="R694" s="112"/>
      <c r="V694" s="112"/>
      <c r="Z694" s="112"/>
      <c r="AA694" s="112"/>
      <c r="AB694" s="112"/>
      <c r="AC694" s="112"/>
      <c r="AD694" s="112"/>
    </row>
    <row r="695" ht="15.75" customHeight="1">
      <c r="F695" s="115"/>
      <c r="G695" s="112"/>
      <c r="H695" s="112"/>
      <c r="I695" s="112"/>
      <c r="N695" s="112"/>
      <c r="R695" s="112"/>
      <c r="V695" s="112"/>
      <c r="Z695" s="112"/>
      <c r="AA695" s="112"/>
      <c r="AB695" s="112"/>
      <c r="AC695" s="112"/>
      <c r="AD695" s="112"/>
    </row>
    <row r="696" ht="15.75" customHeight="1">
      <c r="F696" s="115"/>
      <c r="G696" s="112"/>
      <c r="H696" s="112"/>
      <c r="I696" s="112"/>
      <c r="N696" s="112"/>
      <c r="R696" s="112"/>
      <c r="V696" s="112"/>
      <c r="Z696" s="112"/>
      <c r="AA696" s="112"/>
      <c r="AB696" s="112"/>
      <c r="AC696" s="112"/>
      <c r="AD696" s="112"/>
    </row>
    <row r="697" ht="15.75" customHeight="1">
      <c r="F697" s="115"/>
      <c r="G697" s="112"/>
      <c r="H697" s="112"/>
      <c r="I697" s="112"/>
      <c r="N697" s="112"/>
      <c r="R697" s="112"/>
      <c r="V697" s="112"/>
      <c r="Z697" s="112"/>
      <c r="AA697" s="112"/>
      <c r="AB697" s="112"/>
      <c r="AC697" s="112"/>
      <c r="AD697" s="112"/>
    </row>
    <row r="698" ht="15.75" customHeight="1">
      <c r="F698" s="115"/>
      <c r="G698" s="112"/>
      <c r="H698" s="112"/>
      <c r="I698" s="112"/>
      <c r="N698" s="112"/>
      <c r="R698" s="112"/>
      <c r="V698" s="112"/>
      <c r="Z698" s="112"/>
      <c r="AA698" s="112"/>
      <c r="AB698" s="112"/>
      <c r="AC698" s="112"/>
      <c r="AD698" s="112"/>
    </row>
    <row r="699" ht="15.75" customHeight="1">
      <c r="F699" s="115"/>
      <c r="G699" s="112"/>
      <c r="H699" s="112"/>
      <c r="I699" s="112"/>
      <c r="N699" s="112"/>
      <c r="R699" s="112"/>
      <c r="V699" s="112"/>
      <c r="Z699" s="112"/>
      <c r="AA699" s="112"/>
      <c r="AB699" s="112"/>
      <c r="AC699" s="112"/>
      <c r="AD699" s="112"/>
    </row>
    <row r="700" ht="15.75" customHeight="1">
      <c r="F700" s="115"/>
      <c r="G700" s="112"/>
      <c r="H700" s="112"/>
      <c r="I700" s="112"/>
      <c r="N700" s="112"/>
      <c r="R700" s="112"/>
      <c r="V700" s="112"/>
      <c r="Z700" s="112"/>
      <c r="AA700" s="112"/>
      <c r="AB700" s="112"/>
      <c r="AC700" s="112"/>
      <c r="AD700" s="112"/>
    </row>
    <row r="701" ht="15.75" customHeight="1">
      <c r="F701" s="115"/>
      <c r="G701" s="112"/>
      <c r="H701" s="112"/>
      <c r="I701" s="112"/>
      <c r="N701" s="112"/>
      <c r="R701" s="112"/>
      <c r="V701" s="112"/>
      <c r="Z701" s="112"/>
      <c r="AA701" s="112"/>
      <c r="AB701" s="112"/>
      <c r="AC701" s="112"/>
      <c r="AD701" s="112"/>
    </row>
    <row r="702" ht="15.75" customHeight="1">
      <c r="F702" s="115"/>
      <c r="G702" s="112"/>
      <c r="H702" s="112"/>
      <c r="I702" s="112"/>
      <c r="N702" s="112"/>
      <c r="R702" s="112"/>
      <c r="V702" s="112"/>
      <c r="Z702" s="112"/>
      <c r="AA702" s="112"/>
      <c r="AB702" s="112"/>
      <c r="AC702" s="112"/>
      <c r="AD702" s="112"/>
    </row>
    <row r="703" ht="15.75" customHeight="1">
      <c r="F703" s="115"/>
      <c r="G703" s="112"/>
      <c r="H703" s="112"/>
      <c r="I703" s="112"/>
      <c r="N703" s="112"/>
      <c r="R703" s="112"/>
      <c r="V703" s="112"/>
      <c r="Z703" s="112"/>
      <c r="AA703" s="112"/>
      <c r="AB703" s="112"/>
      <c r="AC703" s="112"/>
      <c r="AD703" s="112"/>
    </row>
    <row r="704" ht="15.75" customHeight="1">
      <c r="F704" s="115"/>
      <c r="G704" s="112"/>
      <c r="H704" s="112"/>
      <c r="I704" s="112"/>
      <c r="N704" s="112"/>
      <c r="R704" s="112"/>
      <c r="V704" s="112"/>
      <c r="Z704" s="112"/>
      <c r="AA704" s="112"/>
      <c r="AB704" s="112"/>
      <c r="AC704" s="112"/>
      <c r="AD704" s="112"/>
    </row>
    <row r="705" ht="15.75" customHeight="1">
      <c r="F705" s="115"/>
      <c r="G705" s="112"/>
      <c r="H705" s="112"/>
      <c r="I705" s="112"/>
      <c r="N705" s="112"/>
      <c r="R705" s="112"/>
      <c r="V705" s="112"/>
      <c r="Z705" s="112"/>
      <c r="AA705" s="112"/>
      <c r="AB705" s="112"/>
      <c r="AC705" s="112"/>
      <c r="AD705" s="112"/>
    </row>
    <row r="706" ht="15.75" customHeight="1">
      <c r="F706" s="115"/>
      <c r="G706" s="112"/>
      <c r="H706" s="112"/>
      <c r="I706" s="112"/>
      <c r="N706" s="112"/>
      <c r="R706" s="112"/>
      <c r="V706" s="112"/>
      <c r="Z706" s="112"/>
      <c r="AA706" s="112"/>
      <c r="AB706" s="112"/>
      <c r="AC706" s="112"/>
      <c r="AD706" s="112"/>
    </row>
    <row r="707" ht="15.75" customHeight="1">
      <c r="F707" s="115"/>
      <c r="G707" s="112"/>
      <c r="H707" s="112"/>
      <c r="I707" s="112"/>
      <c r="N707" s="112"/>
      <c r="R707" s="112"/>
      <c r="V707" s="112"/>
      <c r="Z707" s="112"/>
      <c r="AA707" s="112"/>
      <c r="AB707" s="112"/>
      <c r="AC707" s="112"/>
      <c r="AD707" s="112"/>
    </row>
    <row r="708" ht="15.75" customHeight="1">
      <c r="F708" s="115"/>
      <c r="G708" s="112"/>
      <c r="H708" s="112"/>
      <c r="I708" s="112"/>
      <c r="N708" s="112"/>
      <c r="R708" s="112"/>
      <c r="V708" s="112"/>
      <c r="Z708" s="112"/>
      <c r="AA708" s="112"/>
      <c r="AB708" s="112"/>
      <c r="AC708" s="112"/>
      <c r="AD708" s="112"/>
    </row>
    <row r="709" ht="15.75" customHeight="1">
      <c r="F709" s="115"/>
      <c r="G709" s="112"/>
      <c r="H709" s="112"/>
      <c r="I709" s="112"/>
      <c r="N709" s="112"/>
      <c r="R709" s="112"/>
      <c r="V709" s="112"/>
      <c r="Z709" s="112"/>
      <c r="AA709" s="112"/>
      <c r="AB709" s="112"/>
      <c r="AC709" s="112"/>
      <c r="AD709" s="112"/>
    </row>
    <row r="710" ht="15.75" customHeight="1">
      <c r="F710" s="115"/>
      <c r="G710" s="112"/>
      <c r="H710" s="112"/>
      <c r="I710" s="112"/>
      <c r="N710" s="112"/>
      <c r="R710" s="112"/>
      <c r="V710" s="112"/>
      <c r="Z710" s="112"/>
      <c r="AA710" s="112"/>
      <c r="AB710" s="112"/>
      <c r="AC710" s="112"/>
      <c r="AD710" s="112"/>
    </row>
    <row r="711" ht="15.75" customHeight="1">
      <c r="F711" s="115"/>
      <c r="G711" s="112"/>
      <c r="H711" s="112"/>
      <c r="I711" s="112"/>
      <c r="N711" s="112"/>
      <c r="R711" s="112"/>
      <c r="V711" s="112"/>
      <c r="Z711" s="112"/>
      <c r="AA711" s="112"/>
      <c r="AB711" s="112"/>
      <c r="AC711" s="112"/>
      <c r="AD711" s="112"/>
    </row>
    <row r="712" ht="15.75" customHeight="1">
      <c r="F712" s="115"/>
      <c r="G712" s="112"/>
      <c r="H712" s="112"/>
      <c r="I712" s="112"/>
      <c r="N712" s="112"/>
      <c r="R712" s="112"/>
      <c r="V712" s="112"/>
      <c r="Z712" s="112"/>
      <c r="AA712" s="112"/>
      <c r="AB712" s="112"/>
      <c r="AC712" s="112"/>
      <c r="AD712" s="112"/>
    </row>
    <row r="713" ht="15.75" customHeight="1">
      <c r="F713" s="115"/>
      <c r="G713" s="112"/>
      <c r="H713" s="112"/>
      <c r="I713" s="112"/>
      <c r="N713" s="112"/>
      <c r="R713" s="112"/>
      <c r="V713" s="112"/>
      <c r="Z713" s="112"/>
      <c r="AA713" s="112"/>
      <c r="AB713" s="112"/>
      <c r="AC713" s="112"/>
      <c r="AD713" s="112"/>
    </row>
    <row r="714" ht="15.75" customHeight="1">
      <c r="F714" s="115"/>
      <c r="G714" s="112"/>
      <c r="H714" s="112"/>
      <c r="I714" s="112"/>
      <c r="N714" s="112"/>
      <c r="R714" s="112"/>
      <c r="V714" s="112"/>
      <c r="Z714" s="112"/>
      <c r="AA714" s="112"/>
      <c r="AB714" s="112"/>
      <c r="AC714" s="112"/>
      <c r="AD714" s="112"/>
    </row>
    <row r="715" ht="15.75" customHeight="1">
      <c r="F715" s="115"/>
      <c r="G715" s="112"/>
      <c r="H715" s="112"/>
      <c r="I715" s="112"/>
      <c r="N715" s="112"/>
      <c r="R715" s="112"/>
      <c r="V715" s="112"/>
      <c r="Z715" s="112"/>
      <c r="AA715" s="112"/>
      <c r="AB715" s="112"/>
      <c r="AC715" s="112"/>
      <c r="AD715" s="112"/>
    </row>
    <row r="716" ht="15.75" customHeight="1">
      <c r="F716" s="115"/>
      <c r="G716" s="112"/>
      <c r="H716" s="112"/>
      <c r="I716" s="112"/>
      <c r="N716" s="112"/>
      <c r="R716" s="112"/>
      <c r="V716" s="112"/>
      <c r="Z716" s="112"/>
      <c r="AA716" s="112"/>
      <c r="AB716" s="112"/>
      <c r="AC716" s="112"/>
      <c r="AD716" s="112"/>
    </row>
    <row r="717" ht="15.75" customHeight="1">
      <c r="F717" s="115"/>
      <c r="G717" s="112"/>
      <c r="H717" s="112"/>
      <c r="I717" s="112"/>
      <c r="N717" s="112"/>
      <c r="R717" s="112"/>
      <c r="V717" s="112"/>
      <c r="Z717" s="112"/>
      <c r="AA717" s="112"/>
      <c r="AB717" s="112"/>
      <c r="AC717" s="112"/>
      <c r="AD717" s="112"/>
    </row>
    <row r="718" ht="15.75" customHeight="1">
      <c r="F718" s="115"/>
      <c r="G718" s="112"/>
      <c r="H718" s="112"/>
      <c r="I718" s="112"/>
      <c r="N718" s="112"/>
      <c r="R718" s="112"/>
      <c r="V718" s="112"/>
      <c r="Z718" s="112"/>
      <c r="AA718" s="112"/>
      <c r="AB718" s="112"/>
      <c r="AC718" s="112"/>
      <c r="AD718" s="112"/>
    </row>
    <row r="719" ht="15.75" customHeight="1">
      <c r="F719" s="115"/>
      <c r="G719" s="112"/>
      <c r="H719" s="112"/>
      <c r="I719" s="112"/>
      <c r="N719" s="112"/>
      <c r="R719" s="112"/>
      <c r="V719" s="112"/>
      <c r="Z719" s="112"/>
      <c r="AA719" s="112"/>
      <c r="AB719" s="112"/>
      <c r="AC719" s="112"/>
      <c r="AD719" s="112"/>
    </row>
    <row r="720" ht="15.75" customHeight="1">
      <c r="F720" s="115"/>
      <c r="G720" s="112"/>
      <c r="H720" s="112"/>
      <c r="I720" s="112"/>
      <c r="N720" s="112"/>
      <c r="R720" s="112"/>
      <c r="V720" s="112"/>
      <c r="Z720" s="112"/>
      <c r="AA720" s="112"/>
      <c r="AB720" s="112"/>
      <c r="AC720" s="112"/>
      <c r="AD720" s="112"/>
    </row>
    <row r="721" ht="15.75" customHeight="1">
      <c r="F721" s="115"/>
      <c r="G721" s="112"/>
      <c r="H721" s="112"/>
      <c r="I721" s="112"/>
      <c r="N721" s="112"/>
      <c r="R721" s="112"/>
      <c r="V721" s="112"/>
      <c r="Z721" s="112"/>
      <c r="AA721" s="112"/>
      <c r="AB721" s="112"/>
      <c r="AC721" s="112"/>
      <c r="AD721" s="112"/>
    </row>
    <row r="722" ht="15.75" customHeight="1">
      <c r="F722" s="115"/>
      <c r="G722" s="112"/>
      <c r="H722" s="112"/>
      <c r="I722" s="112"/>
      <c r="N722" s="112"/>
      <c r="R722" s="112"/>
      <c r="V722" s="112"/>
      <c r="Z722" s="112"/>
      <c r="AA722" s="112"/>
      <c r="AB722" s="112"/>
      <c r="AC722" s="112"/>
      <c r="AD722" s="112"/>
    </row>
    <row r="723" ht="15.75" customHeight="1">
      <c r="F723" s="115"/>
      <c r="G723" s="112"/>
      <c r="H723" s="112"/>
      <c r="I723" s="112"/>
      <c r="N723" s="112"/>
      <c r="R723" s="112"/>
      <c r="V723" s="112"/>
      <c r="Z723" s="112"/>
      <c r="AA723" s="112"/>
      <c r="AB723" s="112"/>
      <c r="AC723" s="112"/>
      <c r="AD723" s="112"/>
    </row>
    <row r="724" ht="15.75" customHeight="1">
      <c r="F724" s="115"/>
      <c r="G724" s="112"/>
      <c r="H724" s="112"/>
      <c r="I724" s="112"/>
      <c r="N724" s="112"/>
      <c r="R724" s="112"/>
      <c r="V724" s="112"/>
      <c r="Z724" s="112"/>
      <c r="AA724" s="112"/>
      <c r="AB724" s="112"/>
      <c r="AC724" s="112"/>
      <c r="AD724" s="112"/>
    </row>
    <row r="725" ht="15.75" customHeight="1">
      <c r="F725" s="115"/>
      <c r="G725" s="112"/>
      <c r="H725" s="112"/>
      <c r="I725" s="112"/>
      <c r="N725" s="112"/>
      <c r="R725" s="112"/>
      <c r="V725" s="112"/>
      <c r="Z725" s="112"/>
      <c r="AA725" s="112"/>
      <c r="AB725" s="112"/>
      <c r="AC725" s="112"/>
      <c r="AD725" s="112"/>
    </row>
    <row r="726" ht="15.75" customHeight="1">
      <c r="F726" s="115"/>
      <c r="G726" s="112"/>
      <c r="H726" s="112"/>
      <c r="I726" s="112"/>
      <c r="N726" s="112"/>
      <c r="R726" s="112"/>
      <c r="V726" s="112"/>
      <c r="Z726" s="112"/>
      <c r="AA726" s="112"/>
      <c r="AB726" s="112"/>
      <c r="AC726" s="112"/>
      <c r="AD726" s="112"/>
    </row>
    <row r="727" ht="15.75" customHeight="1">
      <c r="F727" s="115"/>
      <c r="G727" s="112"/>
      <c r="H727" s="112"/>
      <c r="I727" s="112"/>
      <c r="N727" s="112"/>
      <c r="R727" s="112"/>
      <c r="V727" s="112"/>
      <c r="Z727" s="112"/>
      <c r="AA727" s="112"/>
      <c r="AB727" s="112"/>
      <c r="AC727" s="112"/>
      <c r="AD727" s="112"/>
    </row>
    <row r="728" ht="15.75" customHeight="1">
      <c r="F728" s="115"/>
      <c r="G728" s="112"/>
      <c r="H728" s="112"/>
      <c r="I728" s="112"/>
      <c r="N728" s="112"/>
      <c r="R728" s="112"/>
      <c r="V728" s="112"/>
      <c r="Z728" s="112"/>
      <c r="AA728" s="112"/>
      <c r="AB728" s="112"/>
      <c r="AC728" s="112"/>
      <c r="AD728" s="112"/>
    </row>
    <row r="729" ht="15.75" customHeight="1">
      <c r="F729" s="115"/>
      <c r="G729" s="112"/>
      <c r="H729" s="112"/>
      <c r="I729" s="112"/>
      <c r="N729" s="112"/>
      <c r="R729" s="112"/>
      <c r="V729" s="112"/>
      <c r="Z729" s="112"/>
      <c r="AA729" s="112"/>
      <c r="AB729" s="112"/>
      <c r="AC729" s="112"/>
      <c r="AD729" s="112"/>
    </row>
    <row r="730" ht="15.75" customHeight="1">
      <c r="F730" s="115"/>
      <c r="G730" s="112"/>
      <c r="H730" s="112"/>
      <c r="I730" s="112"/>
      <c r="N730" s="112"/>
      <c r="R730" s="112"/>
      <c r="V730" s="112"/>
      <c r="Z730" s="112"/>
      <c r="AA730" s="112"/>
      <c r="AB730" s="112"/>
      <c r="AC730" s="112"/>
      <c r="AD730" s="112"/>
    </row>
    <row r="731" ht="15.75" customHeight="1">
      <c r="F731" s="115"/>
      <c r="G731" s="112"/>
      <c r="H731" s="112"/>
      <c r="I731" s="112"/>
      <c r="N731" s="112"/>
      <c r="R731" s="112"/>
      <c r="V731" s="112"/>
      <c r="Z731" s="112"/>
      <c r="AA731" s="112"/>
      <c r="AB731" s="112"/>
      <c r="AC731" s="112"/>
      <c r="AD731" s="112"/>
    </row>
    <row r="732" ht="15.75" customHeight="1">
      <c r="F732" s="115"/>
      <c r="G732" s="112"/>
      <c r="H732" s="112"/>
      <c r="I732" s="112"/>
      <c r="N732" s="112"/>
      <c r="R732" s="112"/>
      <c r="V732" s="112"/>
      <c r="Z732" s="112"/>
      <c r="AA732" s="112"/>
      <c r="AB732" s="112"/>
      <c r="AC732" s="112"/>
      <c r="AD732" s="112"/>
    </row>
    <row r="733" ht="15.75" customHeight="1">
      <c r="F733" s="115"/>
      <c r="G733" s="112"/>
      <c r="H733" s="112"/>
      <c r="I733" s="112"/>
      <c r="N733" s="112"/>
      <c r="R733" s="112"/>
      <c r="V733" s="112"/>
      <c r="Z733" s="112"/>
      <c r="AA733" s="112"/>
      <c r="AB733" s="112"/>
      <c r="AC733" s="112"/>
      <c r="AD733" s="112"/>
    </row>
    <row r="734" ht="15.75" customHeight="1">
      <c r="F734" s="115"/>
      <c r="G734" s="112"/>
      <c r="H734" s="112"/>
      <c r="I734" s="112"/>
      <c r="N734" s="112"/>
      <c r="R734" s="112"/>
      <c r="V734" s="112"/>
      <c r="Z734" s="112"/>
      <c r="AA734" s="112"/>
      <c r="AB734" s="112"/>
      <c r="AC734" s="112"/>
      <c r="AD734" s="112"/>
    </row>
    <row r="735" ht="15.75" customHeight="1">
      <c r="F735" s="115"/>
      <c r="G735" s="112"/>
      <c r="H735" s="112"/>
      <c r="I735" s="112"/>
      <c r="N735" s="112"/>
      <c r="R735" s="112"/>
      <c r="V735" s="112"/>
      <c r="Z735" s="112"/>
      <c r="AA735" s="112"/>
      <c r="AB735" s="112"/>
      <c r="AC735" s="112"/>
      <c r="AD735" s="112"/>
    </row>
    <row r="736" ht="15.75" customHeight="1">
      <c r="F736" s="115"/>
      <c r="G736" s="112"/>
      <c r="H736" s="112"/>
      <c r="I736" s="112"/>
      <c r="N736" s="112"/>
      <c r="R736" s="112"/>
      <c r="V736" s="112"/>
      <c r="Z736" s="112"/>
      <c r="AA736" s="112"/>
      <c r="AB736" s="112"/>
      <c r="AC736" s="112"/>
      <c r="AD736" s="112"/>
    </row>
    <row r="737" ht="15.75" customHeight="1">
      <c r="F737" s="115"/>
      <c r="G737" s="112"/>
      <c r="H737" s="112"/>
      <c r="I737" s="112"/>
      <c r="N737" s="112"/>
      <c r="R737" s="112"/>
      <c r="V737" s="112"/>
      <c r="Z737" s="112"/>
      <c r="AA737" s="112"/>
      <c r="AB737" s="112"/>
      <c r="AC737" s="112"/>
      <c r="AD737" s="112"/>
    </row>
    <row r="738" ht="15.75" customHeight="1">
      <c r="F738" s="115"/>
      <c r="G738" s="112"/>
      <c r="H738" s="112"/>
      <c r="I738" s="112"/>
      <c r="N738" s="112"/>
      <c r="R738" s="112"/>
      <c r="V738" s="112"/>
      <c r="Z738" s="112"/>
      <c r="AA738" s="112"/>
      <c r="AB738" s="112"/>
      <c r="AC738" s="112"/>
      <c r="AD738" s="112"/>
    </row>
    <row r="739" ht="15.75" customHeight="1">
      <c r="F739" s="115"/>
      <c r="G739" s="112"/>
      <c r="H739" s="112"/>
      <c r="I739" s="112"/>
      <c r="N739" s="112"/>
      <c r="R739" s="112"/>
      <c r="V739" s="112"/>
      <c r="Z739" s="112"/>
      <c r="AA739" s="112"/>
      <c r="AB739" s="112"/>
      <c r="AC739" s="112"/>
      <c r="AD739" s="112"/>
    </row>
    <row r="740" ht="15.75" customHeight="1">
      <c r="F740" s="115"/>
      <c r="G740" s="112"/>
      <c r="H740" s="112"/>
      <c r="I740" s="112"/>
      <c r="N740" s="112"/>
      <c r="R740" s="112"/>
      <c r="V740" s="112"/>
      <c r="Z740" s="112"/>
      <c r="AA740" s="112"/>
      <c r="AB740" s="112"/>
      <c r="AC740" s="112"/>
      <c r="AD740" s="112"/>
    </row>
    <row r="741" ht="15.75" customHeight="1">
      <c r="F741" s="115"/>
      <c r="G741" s="112"/>
      <c r="H741" s="112"/>
      <c r="I741" s="112"/>
      <c r="N741" s="112"/>
      <c r="R741" s="112"/>
      <c r="V741" s="112"/>
      <c r="Z741" s="112"/>
      <c r="AA741" s="112"/>
      <c r="AB741" s="112"/>
      <c r="AC741" s="112"/>
      <c r="AD741" s="112"/>
    </row>
    <row r="742" ht="15.75" customHeight="1">
      <c r="F742" s="115"/>
      <c r="G742" s="112"/>
      <c r="H742" s="112"/>
      <c r="I742" s="112"/>
      <c r="N742" s="112"/>
      <c r="R742" s="112"/>
      <c r="V742" s="112"/>
      <c r="Z742" s="112"/>
      <c r="AA742" s="112"/>
      <c r="AB742" s="112"/>
      <c r="AC742" s="112"/>
      <c r="AD742" s="112"/>
    </row>
    <row r="743" ht="15.75" customHeight="1">
      <c r="F743" s="115"/>
      <c r="G743" s="112"/>
      <c r="H743" s="112"/>
      <c r="I743" s="112"/>
      <c r="N743" s="112"/>
      <c r="R743" s="112"/>
      <c r="V743" s="112"/>
      <c r="Z743" s="112"/>
      <c r="AA743" s="112"/>
      <c r="AB743" s="112"/>
      <c r="AC743" s="112"/>
      <c r="AD743" s="112"/>
    </row>
    <row r="744" ht="15.75" customHeight="1">
      <c r="F744" s="115"/>
      <c r="G744" s="112"/>
      <c r="H744" s="112"/>
      <c r="I744" s="112"/>
      <c r="N744" s="112"/>
      <c r="R744" s="112"/>
      <c r="V744" s="112"/>
      <c r="Z744" s="112"/>
      <c r="AA744" s="112"/>
      <c r="AB744" s="112"/>
      <c r="AC744" s="112"/>
      <c r="AD744" s="112"/>
    </row>
    <row r="745" ht="15.75" customHeight="1">
      <c r="F745" s="115"/>
      <c r="G745" s="112"/>
      <c r="H745" s="112"/>
      <c r="I745" s="112"/>
      <c r="N745" s="112"/>
      <c r="R745" s="112"/>
      <c r="V745" s="112"/>
      <c r="Z745" s="112"/>
      <c r="AA745" s="112"/>
      <c r="AB745" s="112"/>
      <c r="AC745" s="112"/>
      <c r="AD745" s="112"/>
    </row>
    <row r="746" ht="15.75" customHeight="1">
      <c r="F746" s="115"/>
      <c r="G746" s="112"/>
      <c r="H746" s="112"/>
      <c r="I746" s="112"/>
      <c r="N746" s="112"/>
      <c r="R746" s="112"/>
      <c r="V746" s="112"/>
      <c r="Z746" s="112"/>
      <c r="AA746" s="112"/>
      <c r="AB746" s="112"/>
      <c r="AC746" s="112"/>
      <c r="AD746" s="112"/>
    </row>
    <row r="747" ht="15.75" customHeight="1">
      <c r="F747" s="115"/>
      <c r="G747" s="112"/>
      <c r="H747" s="112"/>
      <c r="I747" s="112"/>
      <c r="N747" s="112"/>
      <c r="R747" s="112"/>
      <c r="V747" s="112"/>
      <c r="Z747" s="112"/>
      <c r="AA747" s="112"/>
      <c r="AB747" s="112"/>
      <c r="AC747" s="112"/>
      <c r="AD747" s="112"/>
    </row>
    <row r="748" ht="15.75" customHeight="1">
      <c r="F748" s="115"/>
      <c r="G748" s="112"/>
      <c r="H748" s="112"/>
      <c r="I748" s="112"/>
      <c r="N748" s="112"/>
      <c r="R748" s="112"/>
      <c r="V748" s="112"/>
      <c r="Z748" s="112"/>
      <c r="AA748" s="112"/>
      <c r="AB748" s="112"/>
      <c r="AC748" s="112"/>
      <c r="AD748" s="112"/>
    </row>
    <row r="749" ht="15.75" customHeight="1">
      <c r="F749" s="115"/>
      <c r="G749" s="112"/>
      <c r="H749" s="112"/>
      <c r="I749" s="112"/>
      <c r="N749" s="112"/>
      <c r="R749" s="112"/>
      <c r="V749" s="112"/>
      <c r="Z749" s="112"/>
      <c r="AA749" s="112"/>
      <c r="AB749" s="112"/>
      <c r="AC749" s="112"/>
      <c r="AD749" s="112"/>
    </row>
    <row r="750" ht="15.75" customHeight="1">
      <c r="F750" s="115"/>
      <c r="G750" s="112"/>
      <c r="H750" s="112"/>
      <c r="I750" s="112"/>
      <c r="N750" s="112"/>
      <c r="R750" s="112"/>
      <c r="V750" s="112"/>
      <c r="Z750" s="112"/>
      <c r="AA750" s="112"/>
      <c r="AB750" s="112"/>
      <c r="AC750" s="112"/>
      <c r="AD750" s="112"/>
    </row>
    <row r="751" ht="15.75" customHeight="1">
      <c r="F751" s="115"/>
      <c r="G751" s="112"/>
      <c r="H751" s="112"/>
      <c r="I751" s="112"/>
      <c r="N751" s="112"/>
      <c r="R751" s="112"/>
      <c r="V751" s="112"/>
      <c r="Z751" s="112"/>
      <c r="AA751" s="112"/>
      <c r="AB751" s="112"/>
      <c r="AC751" s="112"/>
      <c r="AD751" s="112"/>
    </row>
    <row r="752" ht="15.75" customHeight="1">
      <c r="F752" s="115"/>
      <c r="G752" s="112"/>
      <c r="H752" s="112"/>
      <c r="I752" s="112"/>
      <c r="N752" s="112"/>
      <c r="R752" s="112"/>
      <c r="V752" s="112"/>
      <c r="Z752" s="112"/>
      <c r="AA752" s="112"/>
      <c r="AB752" s="112"/>
      <c r="AC752" s="112"/>
      <c r="AD752" s="112"/>
    </row>
    <row r="753" ht="15.75" customHeight="1">
      <c r="F753" s="115"/>
      <c r="G753" s="112"/>
      <c r="H753" s="112"/>
      <c r="I753" s="112"/>
      <c r="N753" s="112"/>
      <c r="R753" s="112"/>
      <c r="V753" s="112"/>
      <c r="Z753" s="112"/>
      <c r="AA753" s="112"/>
      <c r="AB753" s="112"/>
      <c r="AC753" s="112"/>
      <c r="AD753" s="112"/>
    </row>
    <row r="754" ht="15.75" customHeight="1">
      <c r="F754" s="115"/>
      <c r="G754" s="112"/>
      <c r="H754" s="112"/>
      <c r="I754" s="112"/>
      <c r="N754" s="112"/>
      <c r="R754" s="112"/>
      <c r="V754" s="112"/>
      <c r="Z754" s="112"/>
      <c r="AA754" s="112"/>
      <c r="AB754" s="112"/>
      <c r="AC754" s="112"/>
      <c r="AD754" s="112"/>
    </row>
    <row r="755" ht="15.75" customHeight="1">
      <c r="F755" s="115"/>
      <c r="G755" s="112"/>
      <c r="H755" s="112"/>
      <c r="I755" s="112"/>
      <c r="N755" s="112"/>
      <c r="R755" s="112"/>
      <c r="V755" s="112"/>
      <c r="Z755" s="112"/>
      <c r="AA755" s="112"/>
      <c r="AB755" s="112"/>
      <c r="AC755" s="112"/>
      <c r="AD755" s="112"/>
    </row>
    <row r="756" ht="15.75" customHeight="1">
      <c r="F756" s="115"/>
      <c r="G756" s="112"/>
      <c r="H756" s="112"/>
      <c r="I756" s="112"/>
      <c r="N756" s="112"/>
      <c r="R756" s="112"/>
      <c r="V756" s="112"/>
      <c r="Z756" s="112"/>
      <c r="AA756" s="112"/>
      <c r="AB756" s="112"/>
      <c r="AC756" s="112"/>
      <c r="AD756" s="112"/>
    </row>
    <row r="757" ht="15.75" customHeight="1">
      <c r="F757" s="115"/>
      <c r="G757" s="112"/>
      <c r="H757" s="112"/>
      <c r="I757" s="112"/>
      <c r="N757" s="112"/>
      <c r="R757" s="112"/>
      <c r="V757" s="112"/>
      <c r="Z757" s="112"/>
      <c r="AA757" s="112"/>
      <c r="AB757" s="112"/>
      <c r="AC757" s="112"/>
      <c r="AD757" s="112"/>
    </row>
    <row r="758" ht="15.75" customHeight="1">
      <c r="F758" s="115"/>
      <c r="G758" s="112"/>
      <c r="H758" s="112"/>
      <c r="I758" s="112"/>
      <c r="N758" s="112"/>
      <c r="R758" s="112"/>
      <c r="V758" s="112"/>
      <c r="Z758" s="112"/>
      <c r="AA758" s="112"/>
      <c r="AB758" s="112"/>
      <c r="AC758" s="112"/>
      <c r="AD758" s="112"/>
    </row>
    <row r="759" ht="15.75" customHeight="1">
      <c r="F759" s="115"/>
      <c r="G759" s="112"/>
      <c r="H759" s="112"/>
      <c r="I759" s="112"/>
      <c r="N759" s="112"/>
      <c r="R759" s="112"/>
      <c r="V759" s="112"/>
      <c r="Z759" s="112"/>
      <c r="AA759" s="112"/>
      <c r="AB759" s="112"/>
      <c r="AC759" s="112"/>
      <c r="AD759" s="112"/>
    </row>
    <row r="760" ht="15.75" customHeight="1">
      <c r="F760" s="115"/>
      <c r="G760" s="112"/>
      <c r="H760" s="112"/>
      <c r="I760" s="112"/>
      <c r="N760" s="112"/>
      <c r="R760" s="112"/>
      <c r="V760" s="112"/>
      <c r="Z760" s="112"/>
      <c r="AA760" s="112"/>
      <c r="AB760" s="112"/>
      <c r="AC760" s="112"/>
      <c r="AD760" s="112"/>
    </row>
    <row r="761" ht="15.75" customHeight="1">
      <c r="F761" s="115"/>
      <c r="G761" s="112"/>
      <c r="H761" s="112"/>
      <c r="I761" s="112"/>
      <c r="N761" s="112"/>
      <c r="R761" s="112"/>
      <c r="V761" s="112"/>
      <c r="Z761" s="112"/>
      <c r="AA761" s="112"/>
      <c r="AB761" s="112"/>
      <c r="AC761" s="112"/>
      <c r="AD761" s="112"/>
    </row>
    <row r="762" ht="15.75" customHeight="1">
      <c r="F762" s="115"/>
      <c r="G762" s="112"/>
      <c r="H762" s="112"/>
      <c r="I762" s="112"/>
      <c r="N762" s="112"/>
      <c r="R762" s="112"/>
      <c r="V762" s="112"/>
      <c r="Z762" s="112"/>
      <c r="AA762" s="112"/>
      <c r="AB762" s="112"/>
      <c r="AC762" s="112"/>
      <c r="AD762" s="112"/>
    </row>
    <row r="763" ht="15.75" customHeight="1">
      <c r="F763" s="115"/>
      <c r="G763" s="112"/>
      <c r="H763" s="112"/>
      <c r="I763" s="112"/>
      <c r="N763" s="112"/>
      <c r="R763" s="112"/>
      <c r="V763" s="112"/>
      <c r="Z763" s="112"/>
      <c r="AA763" s="112"/>
      <c r="AB763" s="112"/>
      <c r="AC763" s="112"/>
      <c r="AD763" s="112"/>
    </row>
    <row r="764" ht="15.75" customHeight="1">
      <c r="F764" s="115"/>
      <c r="G764" s="112"/>
      <c r="H764" s="112"/>
      <c r="I764" s="112"/>
      <c r="N764" s="112"/>
      <c r="R764" s="112"/>
      <c r="V764" s="112"/>
      <c r="Z764" s="112"/>
      <c r="AA764" s="112"/>
      <c r="AB764" s="112"/>
      <c r="AC764" s="112"/>
      <c r="AD764" s="112"/>
    </row>
    <row r="765" ht="15.75" customHeight="1">
      <c r="F765" s="115"/>
      <c r="G765" s="112"/>
      <c r="H765" s="112"/>
      <c r="I765" s="112"/>
      <c r="N765" s="112"/>
      <c r="R765" s="112"/>
      <c r="V765" s="112"/>
      <c r="Z765" s="112"/>
      <c r="AA765" s="112"/>
      <c r="AB765" s="112"/>
      <c r="AC765" s="112"/>
      <c r="AD765" s="112"/>
    </row>
    <row r="766" ht="15.75" customHeight="1">
      <c r="F766" s="115"/>
      <c r="G766" s="112"/>
      <c r="H766" s="112"/>
      <c r="I766" s="112"/>
      <c r="N766" s="112"/>
      <c r="R766" s="112"/>
      <c r="V766" s="112"/>
      <c r="Z766" s="112"/>
      <c r="AA766" s="112"/>
      <c r="AB766" s="112"/>
      <c r="AC766" s="112"/>
      <c r="AD766" s="112"/>
    </row>
    <row r="767" ht="15.75" customHeight="1">
      <c r="F767" s="115"/>
      <c r="G767" s="112"/>
      <c r="H767" s="112"/>
      <c r="I767" s="112"/>
      <c r="N767" s="112"/>
      <c r="R767" s="112"/>
      <c r="V767" s="112"/>
      <c r="Z767" s="112"/>
      <c r="AA767" s="112"/>
      <c r="AB767" s="112"/>
      <c r="AC767" s="112"/>
      <c r="AD767" s="112"/>
    </row>
    <row r="768" ht="15.75" customHeight="1">
      <c r="F768" s="115"/>
      <c r="G768" s="112"/>
      <c r="H768" s="112"/>
      <c r="I768" s="112"/>
      <c r="N768" s="112"/>
      <c r="R768" s="112"/>
      <c r="V768" s="112"/>
      <c r="Z768" s="112"/>
      <c r="AA768" s="112"/>
      <c r="AB768" s="112"/>
      <c r="AC768" s="112"/>
      <c r="AD768" s="112"/>
    </row>
    <row r="769" ht="15.75" customHeight="1">
      <c r="F769" s="115"/>
      <c r="G769" s="112"/>
      <c r="H769" s="112"/>
      <c r="I769" s="112"/>
      <c r="N769" s="112"/>
      <c r="R769" s="112"/>
      <c r="V769" s="112"/>
      <c r="Z769" s="112"/>
      <c r="AA769" s="112"/>
      <c r="AB769" s="112"/>
      <c r="AC769" s="112"/>
      <c r="AD769" s="112"/>
    </row>
    <row r="770" ht="15.75" customHeight="1">
      <c r="F770" s="115"/>
      <c r="G770" s="112"/>
      <c r="H770" s="112"/>
      <c r="I770" s="112"/>
      <c r="N770" s="112"/>
      <c r="R770" s="112"/>
      <c r="V770" s="112"/>
      <c r="Z770" s="112"/>
      <c r="AA770" s="112"/>
      <c r="AB770" s="112"/>
      <c r="AC770" s="112"/>
      <c r="AD770" s="112"/>
    </row>
    <row r="771" ht="15.75" customHeight="1">
      <c r="F771" s="115"/>
      <c r="G771" s="112"/>
      <c r="H771" s="112"/>
      <c r="I771" s="112"/>
      <c r="N771" s="112"/>
      <c r="R771" s="112"/>
      <c r="V771" s="112"/>
      <c r="Z771" s="112"/>
      <c r="AA771" s="112"/>
      <c r="AB771" s="112"/>
      <c r="AC771" s="112"/>
      <c r="AD771" s="112"/>
    </row>
    <row r="772" ht="15.75" customHeight="1">
      <c r="F772" s="115"/>
      <c r="G772" s="112"/>
      <c r="H772" s="112"/>
      <c r="I772" s="112"/>
      <c r="N772" s="112"/>
      <c r="R772" s="112"/>
      <c r="V772" s="112"/>
      <c r="Z772" s="112"/>
      <c r="AA772" s="112"/>
      <c r="AB772" s="112"/>
      <c r="AC772" s="112"/>
      <c r="AD772" s="112"/>
    </row>
    <row r="773" ht="15.75" customHeight="1">
      <c r="F773" s="115"/>
      <c r="G773" s="112"/>
      <c r="H773" s="112"/>
      <c r="I773" s="112"/>
      <c r="N773" s="112"/>
      <c r="R773" s="112"/>
      <c r="V773" s="112"/>
      <c r="Z773" s="112"/>
      <c r="AA773" s="112"/>
      <c r="AB773" s="112"/>
      <c r="AC773" s="112"/>
      <c r="AD773" s="112"/>
    </row>
    <row r="774" ht="15.75" customHeight="1">
      <c r="F774" s="115"/>
      <c r="G774" s="112"/>
      <c r="H774" s="112"/>
      <c r="I774" s="112"/>
      <c r="N774" s="112"/>
      <c r="R774" s="112"/>
      <c r="V774" s="112"/>
      <c r="Z774" s="112"/>
      <c r="AA774" s="112"/>
      <c r="AB774" s="112"/>
      <c r="AC774" s="112"/>
      <c r="AD774" s="112"/>
    </row>
    <row r="775" ht="15.75" customHeight="1">
      <c r="F775" s="115"/>
      <c r="G775" s="112"/>
      <c r="H775" s="112"/>
      <c r="I775" s="112"/>
      <c r="N775" s="112"/>
      <c r="R775" s="112"/>
      <c r="V775" s="112"/>
      <c r="Z775" s="112"/>
      <c r="AA775" s="112"/>
      <c r="AB775" s="112"/>
      <c r="AC775" s="112"/>
      <c r="AD775" s="112"/>
    </row>
    <row r="776" ht="15.75" customHeight="1">
      <c r="F776" s="115"/>
      <c r="G776" s="112"/>
      <c r="H776" s="112"/>
      <c r="I776" s="112"/>
      <c r="N776" s="112"/>
      <c r="R776" s="112"/>
      <c r="V776" s="112"/>
      <c r="Z776" s="112"/>
      <c r="AA776" s="112"/>
      <c r="AB776" s="112"/>
      <c r="AC776" s="112"/>
      <c r="AD776" s="112"/>
    </row>
    <row r="777" ht="15.75" customHeight="1">
      <c r="F777" s="115"/>
      <c r="G777" s="112"/>
      <c r="H777" s="112"/>
      <c r="I777" s="112"/>
      <c r="N777" s="112"/>
      <c r="R777" s="112"/>
      <c r="V777" s="112"/>
      <c r="Z777" s="112"/>
      <c r="AA777" s="112"/>
      <c r="AB777" s="112"/>
      <c r="AC777" s="112"/>
      <c r="AD777" s="112"/>
    </row>
    <row r="778" ht="15.75" customHeight="1">
      <c r="F778" s="115"/>
      <c r="G778" s="112"/>
      <c r="H778" s="112"/>
      <c r="I778" s="112"/>
      <c r="N778" s="112"/>
      <c r="R778" s="112"/>
      <c r="V778" s="112"/>
      <c r="Z778" s="112"/>
      <c r="AA778" s="112"/>
      <c r="AB778" s="112"/>
      <c r="AC778" s="112"/>
      <c r="AD778" s="112"/>
    </row>
    <row r="779" ht="15.75" customHeight="1">
      <c r="F779" s="115"/>
      <c r="G779" s="112"/>
      <c r="H779" s="112"/>
      <c r="I779" s="112"/>
      <c r="N779" s="112"/>
      <c r="R779" s="112"/>
      <c r="V779" s="112"/>
      <c r="Z779" s="112"/>
      <c r="AA779" s="112"/>
      <c r="AB779" s="112"/>
      <c r="AC779" s="112"/>
      <c r="AD779" s="112"/>
    </row>
    <row r="780" ht="15.75" customHeight="1">
      <c r="F780" s="115"/>
      <c r="G780" s="112"/>
      <c r="H780" s="112"/>
      <c r="I780" s="112"/>
      <c r="N780" s="112"/>
      <c r="R780" s="112"/>
      <c r="V780" s="112"/>
      <c r="Z780" s="112"/>
      <c r="AA780" s="112"/>
      <c r="AB780" s="112"/>
      <c r="AC780" s="112"/>
      <c r="AD780" s="112"/>
    </row>
    <row r="781" ht="15.75" customHeight="1">
      <c r="F781" s="115"/>
      <c r="G781" s="112"/>
      <c r="H781" s="112"/>
      <c r="I781" s="112"/>
      <c r="N781" s="112"/>
      <c r="R781" s="112"/>
      <c r="V781" s="112"/>
      <c r="Z781" s="112"/>
      <c r="AA781" s="112"/>
      <c r="AB781" s="112"/>
      <c r="AC781" s="112"/>
      <c r="AD781" s="112"/>
    </row>
    <row r="782" ht="15.75" customHeight="1">
      <c r="F782" s="115"/>
      <c r="G782" s="112"/>
      <c r="H782" s="112"/>
      <c r="I782" s="112"/>
      <c r="N782" s="112"/>
      <c r="R782" s="112"/>
      <c r="V782" s="112"/>
      <c r="Z782" s="112"/>
      <c r="AA782" s="112"/>
      <c r="AB782" s="112"/>
      <c r="AC782" s="112"/>
      <c r="AD782" s="112"/>
    </row>
    <row r="783" ht="15.75" customHeight="1">
      <c r="F783" s="115"/>
      <c r="G783" s="112"/>
      <c r="H783" s="112"/>
      <c r="I783" s="112"/>
      <c r="N783" s="112"/>
      <c r="R783" s="112"/>
      <c r="V783" s="112"/>
      <c r="Z783" s="112"/>
      <c r="AA783" s="112"/>
      <c r="AB783" s="112"/>
      <c r="AC783" s="112"/>
      <c r="AD783" s="112"/>
    </row>
    <row r="784" ht="15.75" customHeight="1">
      <c r="F784" s="115"/>
      <c r="G784" s="112"/>
      <c r="H784" s="112"/>
      <c r="I784" s="112"/>
      <c r="N784" s="112"/>
      <c r="R784" s="112"/>
      <c r="V784" s="112"/>
      <c r="Z784" s="112"/>
      <c r="AA784" s="112"/>
      <c r="AB784" s="112"/>
      <c r="AC784" s="112"/>
      <c r="AD784" s="112"/>
    </row>
    <row r="785" ht="15.75" customHeight="1">
      <c r="F785" s="115"/>
      <c r="G785" s="112"/>
      <c r="H785" s="112"/>
      <c r="I785" s="112"/>
      <c r="N785" s="112"/>
      <c r="R785" s="112"/>
      <c r="V785" s="112"/>
      <c r="Z785" s="112"/>
      <c r="AA785" s="112"/>
      <c r="AB785" s="112"/>
      <c r="AC785" s="112"/>
      <c r="AD785" s="112"/>
    </row>
    <row r="786" ht="15.75" customHeight="1">
      <c r="F786" s="115"/>
      <c r="G786" s="112"/>
      <c r="H786" s="112"/>
      <c r="I786" s="112"/>
      <c r="N786" s="112"/>
      <c r="R786" s="112"/>
      <c r="V786" s="112"/>
      <c r="Z786" s="112"/>
      <c r="AA786" s="112"/>
      <c r="AB786" s="112"/>
      <c r="AC786" s="112"/>
      <c r="AD786" s="112"/>
    </row>
    <row r="787" ht="15.75" customHeight="1">
      <c r="F787" s="115"/>
      <c r="G787" s="112"/>
      <c r="H787" s="112"/>
      <c r="I787" s="112"/>
      <c r="N787" s="112"/>
      <c r="R787" s="112"/>
      <c r="V787" s="112"/>
      <c r="Z787" s="112"/>
      <c r="AA787" s="112"/>
      <c r="AB787" s="112"/>
      <c r="AC787" s="112"/>
      <c r="AD787" s="112"/>
    </row>
    <row r="788" ht="15.75" customHeight="1">
      <c r="F788" s="115"/>
      <c r="G788" s="112"/>
      <c r="H788" s="112"/>
      <c r="I788" s="112"/>
      <c r="N788" s="112"/>
      <c r="R788" s="112"/>
      <c r="V788" s="112"/>
      <c r="Z788" s="112"/>
      <c r="AA788" s="112"/>
      <c r="AB788" s="112"/>
      <c r="AC788" s="112"/>
      <c r="AD788" s="112"/>
    </row>
    <row r="789" ht="15.75" customHeight="1">
      <c r="F789" s="115"/>
      <c r="G789" s="112"/>
      <c r="H789" s="112"/>
      <c r="I789" s="112"/>
      <c r="N789" s="112"/>
      <c r="R789" s="112"/>
      <c r="V789" s="112"/>
      <c r="Z789" s="112"/>
      <c r="AA789" s="112"/>
      <c r="AB789" s="112"/>
      <c r="AC789" s="112"/>
      <c r="AD789" s="112"/>
    </row>
    <row r="790" ht="15.75" customHeight="1">
      <c r="F790" s="115"/>
      <c r="G790" s="112"/>
      <c r="H790" s="112"/>
      <c r="I790" s="112"/>
      <c r="N790" s="112"/>
      <c r="R790" s="112"/>
      <c r="V790" s="112"/>
      <c r="Z790" s="112"/>
      <c r="AA790" s="112"/>
      <c r="AB790" s="112"/>
      <c r="AC790" s="112"/>
      <c r="AD790" s="112"/>
    </row>
    <row r="791" ht="15.75" customHeight="1">
      <c r="F791" s="115"/>
      <c r="G791" s="112"/>
      <c r="H791" s="112"/>
      <c r="I791" s="112"/>
      <c r="N791" s="112"/>
      <c r="R791" s="112"/>
      <c r="V791" s="112"/>
      <c r="Z791" s="112"/>
      <c r="AA791" s="112"/>
      <c r="AB791" s="112"/>
      <c r="AC791" s="112"/>
      <c r="AD791" s="112"/>
    </row>
    <row r="792" ht="15.75" customHeight="1">
      <c r="F792" s="115"/>
      <c r="G792" s="112"/>
      <c r="H792" s="112"/>
      <c r="I792" s="112"/>
      <c r="N792" s="112"/>
      <c r="R792" s="112"/>
      <c r="V792" s="112"/>
      <c r="Z792" s="112"/>
      <c r="AA792" s="112"/>
      <c r="AB792" s="112"/>
      <c r="AC792" s="112"/>
      <c r="AD792" s="112"/>
    </row>
    <row r="793" ht="15.75" customHeight="1">
      <c r="F793" s="115"/>
      <c r="G793" s="112"/>
      <c r="H793" s="112"/>
      <c r="I793" s="112"/>
      <c r="N793" s="112"/>
      <c r="R793" s="112"/>
      <c r="V793" s="112"/>
      <c r="Z793" s="112"/>
      <c r="AA793" s="112"/>
      <c r="AB793" s="112"/>
      <c r="AC793" s="112"/>
      <c r="AD793" s="112"/>
    </row>
    <row r="794" ht="15.75" customHeight="1">
      <c r="F794" s="115"/>
      <c r="G794" s="112"/>
      <c r="H794" s="112"/>
      <c r="I794" s="112"/>
      <c r="N794" s="112"/>
      <c r="R794" s="112"/>
      <c r="V794" s="112"/>
      <c r="Z794" s="112"/>
      <c r="AA794" s="112"/>
      <c r="AB794" s="112"/>
      <c r="AC794" s="112"/>
      <c r="AD794" s="112"/>
    </row>
    <row r="795" ht="15.75" customHeight="1">
      <c r="F795" s="115"/>
      <c r="G795" s="112"/>
      <c r="H795" s="112"/>
      <c r="I795" s="112"/>
      <c r="N795" s="112"/>
      <c r="R795" s="112"/>
      <c r="V795" s="112"/>
      <c r="Z795" s="112"/>
      <c r="AA795" s="112"/>
      <c r="AB795" s="112"/>
      <c r="AC795" s="112"/>
      <c r="AD795" s="112"/>
    </row>
    <row r="796" ht="15.75" customHeight="1">
      <c r="F796" s="115"/>
      <c r="G796" s="112"/>
      <c r="H796" s="112"/>
      <c r="I796" s="112"/>
      <c r="N796" s="112"/>
      <c r="R796" s="112"/>
      <c r="V796" s="112"/>
      <c r="Z796" s="112"/>
      <c r="AA796" s="112"/>
      <c r="AB796" s="112"/>
      <c r="AC796" s="112"/>
      <c r="AD796" s="112"/>
    </row>
    <row r="797" ht="15.75" customHeight="1">
      <c r="F797" s="115"/>
      <c r="G797" s="112"/>
      <c r="H797" s="112"/>
      <c r="I797" s="112"/>
      <c r="N797" s="112"/>
      <c r="R797" s="112"/>
      <c r="V797" s="112"/>
      <c r="Z797" s="112"/>
      <c r="AA797" s="112"/>
      <c r="AB797" s="112"/>
      <c r="AC797" s="112"/>
      <c r="AD797" s="112"/>
    </row>
    <row r="798" ht="15.75" customHeight="1">
      <c r="F798" s="115"/>
      <c r="G798" s="112"/>
      <c r="H798" s="112"/>
      <c r="I798" s="112"/>
      <c r="N798" s="112"/>
      <c r="R798" s="112"/>
      <c r="V798" s="112"/>
      <c r="Z798" s="112"/>
      <c r="AA798" s="112"/>
      <c r="AB798" s="112"/>
      <c r="AC798" s="112"/>
      <c r="AD798" s="112"/>
    </row>
    <row r="799" ht="15.75" customHeight="1">
      <c r="F799" s="115"/>
      <c r="G799" s="112"/>
      <c r="H799" s="112"/>
      <c r="I799" s="112"/>
      <c r="N799" s="112"/>
      <c r="R799" s="112"/>
      <c r="V799" s="112"/>
      <c r="Z799" s="112"/>
      <c r="AA799" s="112"/>
      <c r="AB799" s="112"/>
      <c r="AC799" s="112"/>
      <c r="AD799" s="112"/>
    </row>
    <row r="800" ht="15.75" customHeight="1">
      <c r="F800" s="115"/>
      <c r="G800" s="112"/>
      <c r="H800" s="112"/>
      <c r="I800" s="112"/>
      <c r="N800" s="112"/>
      <c r="R800" s="112"/>
      <c r="V800" s="112"/>
      <c r="Z800" s="112"/>
      <c r="AA800" s="112"/>
      <c r="AB800" s="112"/>
      <c r="AC800" s="112"/>
      <c r="AD800" s="112"/>
    </row>
    <row r="801" ht="15.75" customHeight="1">
      <c r="F801" s="115"/>
      <c r="G801" s="112"/>
      <c r="H801" s="112"/>
      <c r="I801" s="112"/>
      <c r="N801" s="112"/>
      <c r="R801" s="112"/>
      <c r="V801" s="112"/>
      <c r="Z801" s="112"/>
      <c r="AA801" s="112"/>
      <c r="AB801" s="112"/>
      <c r="AC801" s="112"/>
      <c r="AD801" s="112"/>
    </row>
    <row r="802" ht="15.75" customHeight="1">
      <c r="F802" s="115"/>
      <c r="G802" s="112"/>
      <c r="H802" s="112"/>
      <c r="I802" s="112"/>
      <c r="N802" s="112"/>
      <c r="R802" s="112"/>
      <c r="V802" s="112"/>
      <c r="Z802" s="112"/>
      <c r="AA802" s="112"/>
      <c r="AB802" s="112"/>
      <c r="AC802" s="112"/>
      <c r="AD802" s="112"/>
    </row>
    <row r="803" ht="15.75" customHeight="1">
      <c r="F803" s="115"/>
      <c r="G803" s="112"/>
      <c r="H803" s="112"/>
      <c r="I803" s="112"/>
      <c r="N803" s="112"/>
      <c r="R803" s="112"/>
      <c r="V803" s="112"/>
      <c r="Z803" s="112"/>
      <c r="AA803" s="112"/>
      <c r="AB803" s="112"/>
      <c r="AC803" s="112"/>
      <c r="AD803" s="112"/>
    </row>
    <row r="804" ht="15.75" customHeight="1">
      <c r="F804" s="115"/>
      <c r="G804" s="112"/>
      <c r="H804" s="112"/>
      <c r="I804" s="112"/>
      <c r="N804" s="112"/>
      <c r="R804" s="112"/>
      <c r="V804" s="112"/>
      <c r="Z804" s="112"/>
      <c r="AA804" s="112"/>
      <c r="AB804" s="112"/>
      <c r="AC804" s="112"/>
      <c r="AD804" s="112"/>
    </row>
    <row r="805" ht="15.75" customHeight="1">
      <c r="F805" s="115"/>
      <c r="G805" s="112"/>
      <c r="H805" s="112"/>
      <c r="I805" s="112"/>
      <c r="N805" s="112"/>
      <c r="R805" s="112"/>
      <c r="V805" s="112"/>
      <c r="Z805" s="112"/>
      <c r="AA805" s="112"/>
      <c r="AB805" s="112"/>
      <c r="AC805" s="112"/>
      <c r="AD805" s="112"/>
    </row>
    <row r="806" ht="15.75" customHeight="1">
      <c r="F806" s="115"/>
      <c r="G806" s="112"/>
      <c r="H806" s="112"/>
      <c r="I806" s="112"/>
      <c r="N806" s="112"/>
      <c r="R806" s="112"/>
      <c r="V806" s="112"/>
      <c r="Z806" s="112"/>
      <c r="AA806" s="112"/>
      <c r="AB806" s="112"/>
      <c r="AC806" s="112"/>
      <c r="AD806" s="112"/>
    </row>
    <row r="807" ht="15.75" customHeight="1">
      <c r="F807" s="115"/>
      <c r="G807" s="112"/>
      <c r="H807" s="112"/>
      <c r="I807" s="112"/>
      <c r="N807" s="112"/>
      <c r="R807" s="112"/>
      <c r="V807" s="112"/>
      <c r="Z807" s="112"/>
      <c r="AA807" s="112"/>
      <c r="AB807" s="112"/>
      <c r="AC807" s="112"/>
      <c r="AD807" s="112"/>
    </row>
    <row r="808" ht="15.75" customHeight="1">
      <c r="F808" s="115"/>
      <c r="G808" s="112"/>
      <c r="H808" s="112"/>
      <c r="I808" s="112"/>
      <c r="N808" s="112"/>
      <c r="R808" s="112"/>
      <c r="V808" s="112"/>
      <c r="Z808" s="112"/>
      <c r="AA808" s="112"/>
      <c r="AB808" s="112"/>
      <c r="AC808" s="112"/>
      <c r="AD808" s="112"/>
    </row>
    <row r="809" ht="15.75" customHeight="1">
      <c r="F809" s="115"/>
      <c r="G809" s="112"/>
      <c r="H809" s="112"/>
      <c r="I809" s="112"/>
      <c r="N809" s="112"/>
      <c r="R809" s="112"/>
      <c r="V809" s="112"/>
      <c r="Z809" s="112"/>
      <c r="AA809" s="112"/>
      <c r="AB809" s="112"/>
      <c r="AC809" s="112"/>
      <c r="AD809" s="112"/>
    </row>
    <row r="810" ht="15.75" customHeight="1">
      <c r="F810" s="115"/>
      <c r="G810" s="112"/>
      <c r="H810" s="112"/>
      <c r="I810" s="112"/>
      <c r="N810" s="112"/>
      <c r="R810" s="112"/>
      <c r="V810" s="112"/>
      <c r="Z810" s="112"/>
      <c r="AA810" s="112"/>
      <c r="AB810" s="112"/>
      <c r="AC810" s="112"/>
      <c r="AD810" s="112"/>
    </row>
    <row r="811" ht="15.75" customHeight="1">
      <c r="F811" s="115"/>
      <c r="G811" s="112"/>
      <c r="H811" s="112"/>
      <c r="I811" s="112"/>
      <c r="N811" s="112"/>
      <c r="R811" s="112"/>
      <c r="V811" s="112"/>
      <c r="Z811" s="112"/>
      <c r="AA811" s="112"/>
      <c r="AB811" s="112"/>
      <c r="AC811" s="112"/>
      <c r="AD811" s="112"/>
    </row>
    <row r="812" ht="15.75" customHeight="1">
      <c r="F812" s="115"/>
      <c r="G812" s="112"/>
      <c r="H812" s="112"/>
      <c r="I812" s="112"/>
      <c r="N812" s="112"/>
      <c r="R812" s="112"/>
      <c r="V812" s="112"/>
      <c r="Z812" s="112"/>
      <c r="AA812" s="112"/>
      <c r="AB812" s="112"/>
      <c r="AC812" s="112"/>
      <c r="AD812" s="112"/>
    </row>
    <row r="813" ht="15.75" customHeight="1">
      <c r="F813" s="115"/>
      <c r="G813" s="112"/>
      <c r="H813" s="112"/>
      <c r="I813" s="112"/>
      <c r="N813" s="112"/>
      <c r="R813" s="112"/>
      <c r="V813" s="112"/>
      <c r="Z813" s="112"/>
      <c r="AA813" s="112"/>
      <c r="AB813" s="112"/>
      <c r="AC813" s="112"/>
      <c r="AD813" s="112"/>
    </row>
    <row r="814" ht="15.75" customHeight="1">
      <c r="F814" s="115"/>
      <c r="G814" s="112"/>
      <c r="H814" s="112"/>
      <c r="I814" s="112"/>
      <c r="N814" s="112"/>
      <c r="R814" s="112"/>
      <c r="V814" s="112"/>
      <c r="Z814" s="112"/>
      <c r="AA814" s="112"/>
      <c r="AB814" s="112"/>
      <c r="AC814" s="112"/>
      <c r="AD814" s="112"/>
    </row>
    <row r="815" ht="15.75" customHeight="1">
      <c r="F815" s="115"/>
      <c r="G815" s="112"/>
      <c r="H815" s="112"/>
      <c r="I815" s="112"/>
      <c r="N815" s="112"/>
      <c r="R815" s="112"/>
      <c r="V815" s="112"/>
      <c r="Z815" s="112"/>
      <c r="AA815" s="112"/>
      <c r="AB815" s="112"/>
      <c r="AC815" s="112"/>
      <c r="AD815" s="112"/>
    </row>
    <row r="816" ht="15.75" customHeight="1">
      <c r="F816" s="115"/>
      <c r="G816" s="112"/>
      <c r="H816" s="112"/>
      <c r="I816" s="112"/>
      <c r="N816" s="112"/>
      <c r="R816" s="112"/>
      <c r="V816" s="112"/>
      <c r="Z816" s="112"/>
      <c r="AA816" s="112"/>
      <c r="AB816" s="112"/>
      <c r="AC816" s="112"/>
      <c r="AD816" s="112"/>
    </row>
    <row r="817" ht="15.75" customHeight="1">
      <c r="F817" s="115"/>
      <c r="G817" s="112"/>
      <c r="H817" s="112"/>
      <c r="I817" s="112"/>
      <c r="N817" s="112"/>
      <c r="R817" s="112"/>
      <c r="V817" s="112"/>
      <c r="Z817" s="112"/>
      <c r="AA817" s="112"/>
      <c r="AB817" s="112"/>
      <c r="AC817" s="112"/>
      <c r="AD817" s="112"/>
    </row>
    <row r="818" ht="15.75" customHeight="1">
      <c r="F818" s="115"/>
      <c r="G818" s="112"/>
      <c r="H818" s="112"/>
      <c r="I818" s="112"/>
      <c r="N818" s="112"/>
      <c r="R818" s="112"/>
      <c r="V818" s="112"/>
      <c r="Z818" s="112"/>
      <c r="AA818" s="112"/>
      <c r="AB818" s="112"/>
      <c r="AC818" s="112"/>
      <c r="AD818" s="112"/>
    </row>
    <row r="819" ht="15.75" customHeight="1">
      <c r="F819" s="115"/>
      <c r="G819" s="112"/>
      <c r="H819" s="112"/>
      <c r="I819" s="112"/>
      <c r="N819" s="112"/>
      <c r="R819" s="112"/>
      <c r="V819" s="112"/>
      <c r="Z819" s="112"/>
      <c r="AA819" s="112"/>
      <c r="AB819" s="112"/>
      <c r="AC819" s="112"/>
      <c r="AD819" s="112"/>
    </row>
    <row r="820" ht="15.75" customHeight="1">
      <c r="F820" s="115"/>
      <c r="G820" s="112"/>
      <c r="H820" s="112"/>
      <c r="I820" s="112"/>
      <c r="N820" s="112"/>
      <c r="R820" s="112"/>
      <c r="V820" s="112"/>
      <c r="Z820" s="112"/>
      <c r="AA820" s="112"/>
      <c r="AB820" s="112"/>
      <c r="AC820" s="112"/>
      <c r="AD820" s="112"/>
    </row>
    <row r="821" ht="15.75" customHeight="1">
      <c r="F821" s="115"/>
      <c r="G821" s="112"/>
      <c r="H821" s="112"/>
      <c r="I821" s="112"/>
      <c r="N821" s="112"/>
      <c r="R821" s="112"/>
      <c r="V821" s="112"/>
      <c r="Z821" s="112"/>
      <c r="AA821" s="112"/>
      <c r="AB821" s="112"/>
      <c r="AC821" s="112"/>
      <c r="AD821" s="112"/>
    </row>
    <row r="822" ht="15.75" customHeight="1">
      <c r="F822" s="115"/>
      <c r="G822" s="112"/>
      <c r="H822" s="112"/>
      <c r="I822" s="112"/>
      <c r="N822" s="112"/>
      <c r="R822" s="112"/>
      <c r="V822" s="112"/>
      <c r="Z822" s="112"/>
      <c r="AA822" s="112"/>
      <c r="AB822" s="112"/>
      <c r="AC822" s="112"/>
      <c r="AD822" s="112"/>
    </row>
    <row r="823" ht="15.75" customHeight="1">
      <c r="F823" s="115"/>
      <c r="G823" s="112"/>
      <c r="H823" s="112"/>
      <c r="I823" s="112"/>
      <c r="N823" s="112"/>
      <c r="R823" s="112"/>
      <c r="V823" s="112"/>
      <c r="Z823" s="112"/>
      <c r="AA823" s="112"/>
      <c r="AB823" s="112"/>
      <c r="AC823" s="112"/>
      <c r="AD823" s="112"/>
    </row>
    <row r="824" ht="15.75" customHeight="1">
      <c r="F824" s="115"/>
      <c r="G824" s="112"/>
      <c r="H824" s="112"/>
      <c r="I824" s="112"/>
      <c r="N824" s="112"/>
      <c r="R824" s="112"/>
      <c r="V824" s="112"/>
      <c r="Z824" s="112"/>
      <c r="AA824" s="112"/>
      <c r="AB824" s="112"/>
      <c r="AC824" s="112"/>
      <c r="AD824" s="112"/>
    </row>
    <row r="825" ht="15.75" customHeight="1">
      <c r="F825" s="115"/>
      <c r="G825" s="112"/>
      <c r="H825" s="112"/>
      <c r="I825" s="112"/>
      <c r="N825" s="112"/>
      <c r="R825" s="112"/>
      <c r="V825" s="112"/>
      <c r="Z825" s="112"/>
      <c r="AA825" s="112"/>
      <c r="AB825" s="112"/>
      <c r="AC825" s="112"/>
      <c r="AD825" s="112"/>
    </row>
    <row r="826" ht="15.75" customHeight="1">
      <c r="F826" s="115"/>
      <c r="G826" s="112"/>
      <c r="H826" s="112"/>
      <c r="I826" s="112"/>
      <c r="N826" s="112"/>
      <c r="R826" s="112"/>
      <c r="V826" s="112"/>
      <c r="Z826" s="112"/>
      <c r="AA826" s="112"/>
      <c r="AB826" s="112"/>
      <c r="AC826" s="112"/>
      <c r="AD826" s="112"/>
    </row>
    <row r="827" ht="15.75" customHeight="1">
      <c r="F827" s="115"/>
      <c r="G827" s="112"/>
      <c r="H827" s="112"/>
      <c r="I827" s="112"/>
      <c r="N827" s="112"/>
      <c r="R827" s="112"/>
      <c r="V827" s="112"/>
      <c r="Z827" s="112"/>
      <c r="AA827" s="112"/>
      <c r="AB827" s="112"/>
      <c r="AC827" s="112"/>
      <c r="AD827" s="112"/>
    </row>
    <row r="828" ht="15.75" customHeight="1">
      <c r="F828" s="115"/>
      <c r="G828" s="112"/>
      <c r="H828" s="112"/>
      <c r="I828" s="112"/>
      <c r="N828" s="112"/>
      <c r="R828" s="112"/>
      <c r="V828" s="112"/>
      <c r="Z828" s="112"/>
      <c r="AA828" s="112"/>
      <c r="AB828" s="112"/>
      <c r="AC828" s="112"/>
      <c r="AD828" s="112"/>
    </row>
    <row r="829" ht="15.75" customHeight="1">
      <c r="F829" s="115"/>
      <c r="G829" s="112"/>
      <c r="H829" s="112"/>
      <c r="I829" s="112"/>
      <c r="N829" s="112"/>
      <c r="R829" s="112"/>
      <c r="V829" s="112"/>
      <c r="Z829" s="112"/>
      <c r="AA829" s="112"/>
      <c r="AB829" s="112"/>
      <c r="AC829" s="112"/>
      <c r="AD829" s="112"/>
    </row>
    <row r="830" ht="15.75" customHeight="1">
      <c r="F830" s="115"/>
      <c r="G830" s="112"/>
      <c r="H830" s="112"/>
      <c r="I830" s="112"/>
      <c r="N830" s="112"/>
      <c r="R830" s="112"/>
      <c r="V830" s="112"/>
      <c r="Z830" s="112"/>
      <c r="AA830" s="112"/>
      <c r="AB830" s="112"/>
      <c r="AC830" s="112"/>
      <c r="AD830" s="112"/>
    </row>
    <row r="831" ht="15.75" customHeight="1">
      <c r="F831" s="115"/>
      <c r="G831" s="112"/>
      <c r="H831" s="112"/>
      <c r="I831" s="112"/>
      <c r="N831" s="112"/>
      <c r="R831" s="112"/>
      <c r="V831" s="112"/>
      <c r="Z831" s="112"/>
      <c r="AA831" s="112"/>
      <c r="AB831" s="112"/>
      <c r="AC831" s="112"/>
      <c r="AD831" s="112"/>
    </row>
    <row r="832" ht="15.75" customHeight="1">
      <c r="F832" s="115"/>
      <c r="G832" s="112"/>
      <c r="H832" s="112"/>
      <c r="I832" s="112"/>
      <c r="N832" s="112"/>
      <c r="R832" s="112"/>
      <c r="V832" s="112"/>
      <c r="Z832" s="112"/>
      <c r="AA832" s="112"/>
      <c r="AB832" s="112"/>
      <c r="AC832" s="112"/>
      <c r="AD832" s="112"/>
    </row>
    <row r="833" ht="15.75" customHeight="1">
      <c r="F833" s="115"/>
      <c r="G833" s="112"/>
      <c r="H833" s="112"/>
      <c r="I833" s="112"/>
      <c r="N833" s="112"/>
      <c r="R833" s="112"/>
      <c r="V833" s="112"/>
      <c r="Z833" s="112"/>
      <c r="AA833" s="112"/>
      <c r="AB833" s="112"/>
      <c r="AC833" s="112"/>
      <c r="AD833" s="112"/>
    </row>
    <row r="834" ht="15.75" customHeight="1">
      <c r="F834" s="115"/>
      <c r="G834" s="112"/>
      <c r="H834" s="112"/>
      <c r="I834" s="112"/>
      <c r="N834" s="112"/>
      <c r="R834" s="112"/>
      <c r="V834" s="112"/>
      <c r="Z834" s="112"/>
      <c r="AA834" s="112"/>
      <c r="AB834" s="112"/>
      <c r="AC834" s="112"/>
      <c r="AD834" s="112"/>
    </row>
    <row r="835" ht="15.75" customHeight="1">
      <c r="F835" s="115"/>
      <c r="G835" s="112"/>
      <c r="H835" s="112"/>
      <c r="I835" s="112"/>
      <c r="N835" s="112"/>
      <c r="R835" s="112"/>
      <c r="V835" s="112"/>
      <c r="Z835" s="112"/>
      <c r="AA835" s="112"/>
      <c r="AB835" s="112"/>
      <c r="AC835" s="112"/>
      <c r="AD835" s="112"/>
    </row>
    <row r="836" ht="15.75" customHeight="1">
      <c r="F836" s="115"/>
      <c r="G836" s="112"/>
      <c r="H836" s="112"/>
      <c r="I836" s="112"/>
      <c r="N836" s="112"/>
      <c r="R836" s="112"/>
      <c r="V836" s="112"/>
      <c r="Z836" s="112"/>
      <c r="AA836" s="112"/>
      <c r="AB836" s="112"/>
      <c r="AC836" s="112"/>
      <c r="AD836" s="112"/>
    </row>
    <row r="837" ht="15.75" customHeight="1">
      <c r="F837" s="115"/>
      <c r="G837" s="112"/>
      <c r="H837" s="112"/>
      <c r="I837" s="112"/>
      <c r="N837" s="112"/>
      <c r="R837" s="112"/>
      <c r="V837" s="112"/>
      <c r="Z837" s="112"/>
      <c r="AA837" s="112"/>
      <c r="AB837" s="112"/>
      <c r="AC837" s="112"/>
      <c r="AD837" s="112"/>
    </row>
    <row r="838" ht="15.75" customHeight="1">
      <c r="F838" s="115"/>
      <c r="G838" s="112"/>
      <c r="H838" s="112"/>
      <c r="I838" s="112"/>
      <c r="N838" s="112"/>
      <c r="R838" s="112"/>
      <c r="V838" s="112"/>
      <c r="Z838" s="112"/>
      <c r="AA838" s="112"/>
      <c r="AB838" s="112"/>
      <c r="AC838" s="112"/>
      <c r="AD838" s="112"/>
    </row>
    <row r="839" ht="15.75" customHeight="1">
      <c r="F839" s="115"/>
      <c r="G839" s="112"/>
      <c r="H839" s="112"/>
      <c r="I839" s="112"/>
      <c r="N839" s="112"/>
      <c r="R839" s="112"/>
      <c r="V839" s="112"/>
      <c r="Z839" s="112"/>
      <c r="AA839" s="112"/>
      <c r="AB839" s="112"/>
      <c r="AC839" s="112"/>
      <c r="AD839" s="112"/>
    </row>
    <row r="840" ht="15.75" customHeight="1">
      <c r="F840" s="115"/>
      <c r="G840" s="112"/>
      <c r="H840" s="112"/>
      <c r="I840" s="112"/>
      <c r="N840" s="112"/>
      <c r="R840" s="112"/>
      <c r="V840" s="112"/>
      <c r="Z840" s="112"/>
      <c r="AA840" s="112"/>
      <c r="AB840" s="112"/>
      <c r="AC840" s="112"/>
      <c r="AD840" s="112"/>
    </row>
    <row r="841" ht="15.75" customHeight="1">
      <c r="F841" s="115"/>
      <c r="G841" s="112"/>
      <c r="H841" s="112"/>
      <c r="I841" s="112"/>
      <c r="N841" s="112"/>
      <c r="R841" s="112"/>
      <c r="V841" s="112"/>
      <c r="Z841" s="112"/>
      <c r="AA841" s="112"/>
      <c r="AB841" s="112"/>
      <c r="AC841" s="112"/>
      <c r="AD841" s="112"/>
    </row>
    <row r="842" ht="15.75" customHeight="1">
      <c r="F842" s="115"/>
      <c r="G842" s="112"/>
      <c r="H842" s="112"/>
      <c r="I842" s="112"/>
      <c r="N842" s="112"/>
      <c r="R842" s="112"/>
      <c r="V842" s="112"/>
      <c r="Z842" s="112"/>
      <c r="AA842" s="112"/>
      <c r="AB842" s="112"/>
      <c r="AC842" s="112"/>
      <c r="AD842" s="112"/>
    </row>
    <row r="843" ht="15.75" customHeight="1">
      <c r="F843" s="115"/>
      <c r="G843" s="112"/>
      <c r="H843" s="112"/>
      <c r="I843" s="112"/>
      <c r="N843" s="112"/>
      <c r="R843" s="112"/>
      <c r="V843" s="112"/>
      <c r="Z843" s="112"/>
      <c r="AA843" s="112"/>
      <c r="AB843" s="112"/>
      <c r="AC843" s="112"/>
      <c r="AD843" s="112"/>
    </row>
    <row r="844" ht="15.75" customHeight="1">
      <c r="F844" s="115"/>
      <c r="G844" s="112"/>
      <c r="H844" s="112"/>
      <c r="I844" s="112"/>
      <c r="N844" s="112"/>
      <c r="R844" s="112"/>
      <c r="V844" s="112"/>
      <c r="Z844" s="112"/>
      <c r="AA844" s="112"/>
      <c r="AB844" s="112"/>
      <c r="AC844" s="112"/>
      <c r="AD844" s="112"/>
    </row>
    <row r="845" ht="15.75" customHeight="1">
      <c r="F845" s="115"/>
      <c r="G845" s="112"/>
      <c r="H845" s="112"/>
      <c r="I845" s="112"/>
      <c r="N845" s="112"/>
      <c r="R845" s="112"/>
      <c r="V845" s="112"/>
      <c r="Z845" s="112"/>
      <c r="AA845" s="112"/>
      <c r="AB845" s="112"/>
      <c r="AC845" s="112"/>
      <c r="AD845" s="112"/>
    </row>
    <row r="846" ht="15.75" customHeight="1">
      <c r="F846" s="115"/>
      <c r="G846" s="112"/>
      <c r="H846" s="112"/>
      <c r="I846" s="112"/>
      <c r="N846" s="112"/>
      <c r="R846" s="112"/>
      <c r="V846" s="112"/>
      <c r="Z846" s="112"/>
      <c r="AA846" s="112"/>
      <c r="AB846" s="112"/>
      <c r="AC846" s="112"/>
      <c r="AD846" s="112"/>
    </row>
    <row r="847" ht="15.75" customHeight="1">
      <c r="F847" s="115"/>
      <c r="G847" s="112"/>
      <c r="H847" s="112"/>
      <c r="I847" s="112"/>
      <c r="N847" s="112"/>
      <c r="R847" s="112"/>
      <c r="V847" s="112"/>
      <c r="Z847" s="112"/>
      <c r="AA847" s="112"/>
      <c r="AB847" s="112"/>
      <c r="AC847" s="112"/>
      <c r="AD847" s="112"/>
    </row>
    <row r="848" ht="15.75" customHeight="1">
      <c r="F848" s="115"/>
      <c r="G848" s="112"/>
      <c r="H848" s="112"/>
      <c r="I848" s="112"/>
      <c r="N848" s="112"/>
      <c r="R848" s="112"/>
      <c r="V848" s="112"/>
      <c r="Z848" s="112"/>
      <c r="AA848" s="112"/>
      <c r="AB848" s="112"/>
      <c r="AC848" s="112"/>
      <c r="AD848" s="112"/>
    </row>
    <row r="849" ht="15.75" customHeight="1">
      <c r="F849" s="115"/>
      <c r="G849" s="112"/>
      <c r="H849" s="112"/>
      <c r="I849" s="112"/>
      <c r="N849" s="112"/>
      <c r="R849" s="112"/>
      <c r="V849" s="112"/>
      <c r="Z849" s="112"/>
      <c r="AA849" s="112"/>
      <c r="AB849" s="112"/>
      <c r="AC849" s="112"/>
      <c r="AD849" s="112"/>
    </row>
    <row r="850" ht="15.75" customHeight="1">
      <c r="F850" s="115"/>
      <c r="G850" s="112"/>
      <c r="H850" s="112"/>
      <c r="I850" s="112"/>
      <c r="N850" s="112"/>
      <c r="R850" s="112"/>
      <c r="V850" s="112"/>
      <c r="Z850" s="112"/>
      <c r="AA850" s="112"/>
      <c r="AB850" s="112"/>
      <c r="AC850" s="112"/>
      <c r="AD850" s="112"/>
    </row>
    <row r="851" ht="15.75" customHeight="1">
      <c r="F851" s="115"/>
      <c r="G851" s="112"/>
      <c r="H851" s="112"/>
      <c r="I851" s="112"/>
      <c r="N851" s="112"/>
      <c r="R851" s="112"/>
      <c r="V851" s="112"/>
      <c r="Z851" s="112"/>
      <c r="AA851" s="112"/>
      <c r="AB851" s="112"/>
      <c r="AC851" s="112"/>
      <c r="AD851" s="112"/>
    </row>
    <row r="852" ht="15.75" customHeight="1">
      <c r="F852" s="115"/>
      <c r="G852" s="112"/>
      <c r="H852" s="112"/>
      <c r="I852" s="112"/>
      <c r="N852" s="112"/>
      <c r="R852" s="112"/>
      <c r="V852" s="112"/>
      <c r="Z852" s="112"/>
      <c r="AA852" s="112"/>
      <c r="AB852" s="112"/>
      <c r="AC852" s="112"/>
      <c r="AD852" s="112"/>
    </row>
    <row r="853" ht="15.75" customHeight="1">
      <c r="F853" s="115"/>
      <c r="G853" s="112"/>
      <c r="H853" s="112"/>
      <c r="I853" s="112"/>
      <c r="N853" s="112"/>
      <c r="R853" s="112"/>
      <c r="V853" s="112"/>
      <c r="Z853" s="112"/>
      <c r="AA853" s="112"/>
      <c r="AB853" s="112"/>
      <c r="AC853" s="112"/>
      <c r="AD853" s="112"/>
    </row>
    <row r="854" ht="15.75" customHeight="1">
      <c r="F854" s="115"/>
      <c r="G854" s="112"/>
      <c r="H854" s="112"/>
      <c r="I854" s="112"/>
      <c r="N854" s="112"/>
      <c r="R854" s="112"/>
      <c r="V854" s="112"/>
      <c r="Z854" s="112"/>
      <c r="AA854" s="112"/>
      <c r="AB854" s="112"/>
      <c r="AC854" s="112"/>
      <c r="AD854" s="112"/>
    </row>
    <row r="855" ht="15.75" customHeight="1">
      <c r="F855" s="115"/>
      <c r="G855" s="112"/>
      <c r="H855" s="112"/>
      <c r="I855" s="112"/>
      <c r="N855" s="112"/>
      <c r="R855" s="112"/>
      <c r="V855" s="112"/>
      <c r="Z855" s="112"/>
      <c r="AA855" s="112"/>
      <c r="AB855" s="112"/>
      <c r="AC855" s="112"/>
      <c r="AD855" s="112"/>
    </row>
    <row r="856" ht="15.75" customHeight="1">
      <c r="F856" s="115"/>
      <c r="G856" s="112"/>
      <c r="H856" s="112"/>
      <c r="I856" s="112"/>
      <c r="N856" s="112"/>
      <c r="R856" s="112"/>
      <c r="V856" s="112"/>
      <c r="Z856" s="112"/>
      <c r="AA856" s="112"/>
      <c r="AB856" s="112"/>
      <c r="AC856" s="112"/>
      <c r="AD856" s="112"/>
    </row>
    <row r="857" ht="15.75" customHeight="1">
      <c r="F857" s="115"/>
      <c r="G857" s="112"/>
      <c r="H857" s="112"/>
      <c r="I857" s="112"/>
      <c r="N857" s="112"/>
      <c r="R857" s="112"/>
      <c r="V857" s="112"/>
      <c r="Z857" s="112"/>
      <c r="AA857" s="112"/>
      <c r="AB857" s="112"/>
      <c r="AC857" s="112"/>
      <c r="AD857" s="112"/>
    </row>
    <row r="858" ht="15.75" customHeight="1">
      <c r="F858" s="115"/>
      <c r="G858" s="112"/>
      <c r="H858" s="112"/>
      <c r="I858" s="112"/>
      <c r="N858" s="112"/>
      <c r="R858" s="112"/>
      <c r="V858" s="112"/>
      <c r="Z858" s="112"/>
      <c r="AA858" s="112"/>
      <c r="AB858" s="112"/>
      <c r="AC858" s="112"/>
      <c r="AD858" s="112"/>
    </row>
    <row r="859" ht="15.75" customHeight="1">
      <c r="F859" s="115"/>
      <c r="G859" s="112"/>
      <c r="H859" s="112"/>
      <c r="I859" s="112"/>
      <c r="N859" s="112"/>
      <c r="R859" s="112"/>
      <c r="V859" s="112"/>
      <c r="Z859" s="112"/>
      <c r="AA859" s="112"/>
      <c r="AB859" s="112"/>
      <c r="AC859" s="112"/>
      <c r="AD859" s="112"/>
    </row>
    <row r="860" ht="15.75" customHeight="1">
      <c r="F860" s="115"/>
      <c r="G860" s="112"/>
      <c r="H860" s="112"/>
      <c r="I860" s="112"/>
      <c r="N860" s="112"/>
      <c r="R860" s="112"/>
      <c r="V860" s="112"/>
      <c r="Z860" s="112"/>
      <c r="AA860" s="112"/>
      <c r="AB860" s="112"/>
      <c r="AC860" s="112"/>
      <c r="AD860" s="112"/>
    </row>
    <row r="861" ht="15.75" customHeight="1">
      <c r="F861" s="115"/>
      <c r="G861" s="112"/>
      <c r="H861" s="112"/>
      <c r="I861" s="112"/>
      <c r="N861" s="112"/>
      <c r="R861" s="112"/>
      <c r="V861" s="112"/>
      <c r="Z861" s="112"/>
      <c r="AA861" s="112"/>
      <c r="AB861" s="112"/>
      <c r="AC861" s="112"/>
      <c r="AD861" s="112"/>
    </row>
    <row r="862" ht="15.75" customHeight="1">
      <c r="F862" s="115"/>
      <c r="G862" s="112"/>
      <c r="H862" s="112"/>
      <c r="I862" s="112"/>
      <c r="N862" s="112"/>
      <c r="R862" s="112"/>
      <c r="V862" s="112"/>
      <c r="Z862" s="112"/>
      <c r="AA862" s="112"/>
      <c r="AB862" s="112"/>
      <c r="AC862" s="112"/>
      <c r="AD862" s="112"/>
    </row>
    <row r="863" ht="15.75" customHeight="1">
      <c r="F863" s="115"/>
      <c r="G863" s="112"/>
      <c r="H863" s="112"/>
      <c r="I863" s="112"/>
      <c r="N863" s="112"/>
      <c r="R863" s="112"/>
      <c r="V863" s="112"/>
      <c r="Z863" s="112"/>
      <c r="AA863" s="112"/>
      <c r="AB863" s="112"/>
      <c r="AC863" s="112"/>
      <c r="AD863" s="112"/>
    </row>
    <row r="864" ht="15.75" customHeight="1">
      <c r="F864" s="115"/>
      <c r="G864" s="112"/>
      <c r="H864" s="112"/>
      <c r="I864" s="112"/>
      <c r="N864" s="112"/>
      <c r="R864" s="112"/>
      <c r="V864" s="112"/>
      <c r="Z864" s="112"/>
      <c r="AA864" s="112"/>
      <c r="AB864" s="112"/>
      <c r="AC864" s="112"/>
      <c r="AD864" s="112"/>
    </row>
    <row r="865" ht="15.75" customHeight="1">
      <c r="F865" s="115"/>
      <c r="G865" s="112"/>
      <c r="H865" s="112"/>
      <c r="I865" s="112"/>
      <c r="N865" s="112"/>
      <c r="R865" s="112"/>
      <c r="V865" s="112"/>
      <c r="Z865" s="112"/>
      <c r="AA865" s="112"/>
      <c r="AB865" s="112"/>
      <c r="AC865" s="112"/>
      <c r="AD865" s="112"/>
    </row>
    <row r="866" ht="15.75" customHeight="1">
      <c r="F866" s="115"/>
      <c r="G866" s="112"/>
      <c r="H866" s="112"/>
      <c r="I866" s="112"/>
      <c r="N866" s="112"/>
      <c r="R866" s="112"/>
      <c r="V866" s="112"/>
      <c r="Z866" s="112"/>
      <c r="AA866" s="112"/>
      <c r="AB866" s="112"/>
      <c r="AC866" s="112"/>
      <c r="AD866" s="112"/>
    </row>
    <row r="867" ht="15.75" customHeight="1">
      <c r="F867" s="115"/>
      <c r="G867" s="112"/>
      <c r="H867" s="112"/>
      <c r="I867" s="112"/>
      <c r="N867" s="112"/>
      <c r="R867" s="112"/>
      <c r="V867" s="112"/>
      <c r="Z867" s="112"/>
      <c r="AA867" s="112"/>
      <c r="AB867" s="112"/>
      <c r="AC867" s="112"/>
      <c r="AD867" s="112"/>
    </row>
    <row r="868" ht="15.75" customHeight="1">
      <c r="F868" s="115"/>
      <c r="G868" s="112"/>
      <c r="H868" s="112"/>
      <c r="I868" s="112"/>
      <c r="N868" s="112"/>
      <c r="R868" s="112"/>
      <c r="V868" s="112"/>
      <c r="Z868" s="112"/>
      <c r="AA868" s="112"/>
      <c r="AB868" s="112"/>
      <c r="AC868" s="112"/>
      <c r="AD868" s="112"/>
    </row>
    <row r="869" ht="15.75" customHeight="1">
      <c r="F869" s="115"/>
      <c r="G869" s="112"/>
      <c r="H869" s="112"/>
      <c r="I869" s="112"/>
      <c r="N869" s="112"/>
      <c r="R869" s="112"/>
      <c r="V869" s="112"/>
      <c r="Z869" s="112"/>
      <c r="AA869" s="112"/>
      <c r="AB869" s="112"/>
      <c r="AC869" s="112"/>
      <c r="AD869" s="112"/>
    </row>
    <row r="870" ht="15.75" customHeight="1">
      <c r="F870" s="115"/>
      <c r="G870" s="112"/>
      <c r="H870" s="112"/>
      <c r="I870" s="112"/>
      <c r="N870" s="112"/>
      <c r="R870" s="112"/>
      <c r="V870" s="112"/>
      <c r="Z870" s="112"/>
      <c r="AA870" s="112"/>
      <c r="AB870" s="112"/>
      <c r="AC870" s="112"/>
      <c r="AD870" s="112"/>
    </row>
    <row r="871" ht="15.75" customHeight="1">
      <c r="F871" s="115"/>
      <c r="G871" s="112"/>
      <c r="H871" s="112"/>
      <c r="I871" s="112"/>
      <c r="N871" s="112"/>
      <c r="R871" s="112"/>
      <c r="V871" s="112"/>
      <c r="Z871" s="112"/>
      <c r="AA871" s="112"/>
      <c r="AB871" s="112"/>
      <c r="AC871" s="112"/>
      <c r="AD871" s="112"/>
    </row>
    <row r="872" ht="15.75" customHeight="1">
      <c r="F872" s="115"/>
      <c r="G872" s="112"/>
      <c r="H872" s="112"/>
      <c r="I872" s="112"/>
      <c r="N872" s="112"/>
      <c r="R872" s="112"/>
      <c r="V872" s="112"/>
      <c r="Z872" s="112"/>
      <c r="AA872" s="112"/>
      <c r="AB872" s="112"/>
      <c r="AC872" s="112"/>
      <c r="AD872" s="112"/>
    </row>
    <row r="873" ht="15.75" customHeight="1">
      <c r="F873" s="115"/>
      <c r="G873" s="112"/>
      <c r="H873" s="112"/>
      <c r="I873" s="112"/>
      <c r="N873" s="112"/>
      <c r="R873" s="112"/>
      <c r="V873" s="112"/>
      <c r="Z873" s="112"/>
      <c r="AA873" s="112"/>
      <c r="AB873" s="112"/>
      <c r="AC873" s="112"/>
      <c r="AD873" s="112"/>
    </row>
    <row r="874" ht="15.75" customHeight="1">
      <c r="F874" s="115"/>
      <c r="G874" s="112"/>
      <c r="H874" s="112"/>
      <c r="I874" s="112"/>
      <c r="N874" s="112"/>
      <c r="R874" s="112"/>
      <c r="V874" s="112"/>
      <c r="Z874" s="112"/>
      <c r="AA874" s="112"/>
      <c r="AB874" s="112"/>
      <c r="AC874" s="112"/>
      <c r="AD874" s="112"/>
    </row>
    <row r="875" ht="15.75" customHeight="1">
      <c r="F875" s="115"/>
      <c r="G875" s="112"/>
      <c r="H875" s="112"/>
      <c r="I875" s="112"/>
      <c r="N875" s="112"/>
      <c r="R875" s="112"/>
      <c r="V875" s="112"/>
      <c r="Z875" s="112"/>
      <c r="AA875" s="112"/>
      <c r="AB875" s="112"/>
      <c r="AC875" s="112"/>
      <c r="AD875" s="112"/>
    </row>
    <row r="876" ht="15.75" customHeight="1">
      <c r="F876" s="115"/>
      <c r="G876" s="112"/>
      <c r="H876" s="112"/>
      <c r="I876" s="112"/>
      <c r="N876" s="112"/>
      <c r="R876" s="112"/>
      <c r="V876" s="112"/>
      <c r="Z876" s="112"/>
      <c r="AA876" s="112"/>
      <c r="AB876" s="112"/>
      <c r="AC876" s="112"/>
      <c r="AD876" s="112"/>
    </row>
    <row r="877" ht="15.75" customHeight="1">
      <c r="F877" s="115"/>
      <c r="G877" s="112"/>
      <c r="H877" s="112"/>
      <c r="I877" s="112"/>
      <c r="N877" s="112"/>
      <c r="R877" s="112"/>
      <c r="V877" s="112"/>
      <c r="Z877" s="112"/>
      <c r="AA877" s="112"/>
      <c r="AB877" s="112"/>
      <c r="AC877" s="112"/>
      <c r="AD877" s="112"/>
    </row>
    <row r="878" ht="15.75" customHeight="1">
      <c r="F878" s="115"/>
      <c r="G878" s="112"/>
      <c r="H878" s="112"/>
      <c r="I878" s="112"/>
      <c r="N878" s="112"/>
      <c r="R878" s="112"/>
      <c r="V878" s="112"/>
      <c r="Z878" s="112"/>
      <c r="AA878" s="112"/>
      <c r="AB878" s="112"/>
      <c r="AC878" s="112"/>
      <c r="AD878" s="112"/>
    </row>
    <row r="879" ht="15.75" customHeight="1">
      <c r="F879" s="115"/>
      <c r="G879" s="112"/>
      <c r="H879" s="112"/>
      <c r="I879" s="112"/>
      <c r="N879" s="112"/>
      <c r="R879" s="112"/>
      <c r="V879" s="112"/>
      <c r="Z879" s="112"/>
      <c r="AA879" s="112"/>
      <c r="AB879" s="112"/>
      <c r="AC879" s="112"/>
      <c r="AD879" s="112"/>
    </row>
    <row r="880" ht="15.75" customHeight="1">
      <c r="F880" s="115"/>
      <c r="G880" s="112"/>
      <c r="H880" s="112"/>
      <c r="I880" s="112"/>
      <c r="N880" s="112"/>
      <c r="R880" s="112"/>
      <c r="V880" s="112"/>
      <c r="Z880" s="112"/>
      <c r="AA880" s="112"/>
      <c r="AB880" s="112"/>
      <c r="AC880" s="112"/>
      <c r="AD880" s="112"/>
    </row>
    <row r="881" ht="15.75" customHeight="1">
      <c r="F881" s="115"/>
      <c r="G881" s="112"/>
      <c r="H881" s="112"/>
      <c r="I881" s="112"/>
      <c r="N881" s="112"/>
      <c r="R881" s="112"/>
      <c r="V881" s="112"/>
      <c r="Z881" s="112"/>
      <c r="AA881" s="112"/>
      <c r="AB881" s="112"/>
      <c r="AC881" s="112"/>
      <c r="AD881" s="112"/>
    </row>
    <row r="882" ht="15.75" customHeight="1">
      <c r="F882" s="115"/>
      <c r="G882" s="112"/>
      <c r="H882" s="112"/>
      <c r="I882" s="112"/>
      <c r="N882" s="112"/>
      <c r="R882" s="112"/>
      <c r="V882" s="112"/>
      <c r="Z882" s="112"/>
      <c r="AA882" s="112"/>
      <c r="AB882" s="112"/>
      <c r="AC882" s="112"/>
      <c r="AD882" s="112"/>
    </row>
    <row r="883" ht="15.75" customHeight="1">
      <c r="F883" s="115"/>
      <c r="G883" s="112"/>
      <c r="H883" s="112"/>
      <c r="I883" s="112"/>
      <c r="N883" s="112"/>
      <c r="R883" s="112"/>
      <c r="V883" s="112"/>
      <c r="Z883" s="112"/>
      <c r="AA883" s="112"/>
      <c r="AB883" s="112"/>
      <c r="AC883" s="112"/>
      <c r="AD883" s="112"/>
    </row>
    <row r="884" ht="15.75" customHeight="1">
      <c r="F884" s="115"/>
      <c r="G884" s="112"/>
      <c r="H884" s="112"/>
      <c r="I884" s="112"/>
      <c r="N884" s="112"/>
      <c r="R884" s="112"/>
      <c r="V884" s="112"/>
      <c r="Z884" s="112"/>
      <c r="AA884" s="112"/>
      <c r="AB884" s="112"/>
      <c r="AC884" s="112"/>
      <c r="AD884" s="112"/>
    </row>
    <row r="885" ht="15.75" customHeight="1">
      <c r="F885" s="115"/>
      <c r="G885" s="112"/>
      <c r="H885" s="112"/>
      <c r="I885" s="112"/>
      <c r="N885" s="112"/>
      <c r="R885" s="112"/>
      <c r="V885" s="112"/>
      <c r="Z885" s="112"/>
      <c r="AA885" s="112"/>
      <c r="AB885" s="112"/>
      <c r="AC885" s="112"/>
      <c r="AD885" s="112"/>
    </row>
    <row r="886" ht="15.75" customHeight="1">
      <c r="F886" s="115"/>
      <c r="G886" s="112"/>
      <c r="H886" s="112"/>
      <c r="I886" s="112"/>
      <c r="N886" s="112"/>
      <c r="R886" s="112"/>
      <c r="V886" s="112"/>
      <c r="Z886" s="112"/>
      <c r="AA886" s="112"/>
      <c r="AB886" s="112"/>
      <c r="AC886" s="112"/>
      <c r="AD886" s="112"/>
    </row>
    <row r="887" ht="15.75" customHeight="1">
      <c r="F887" s="115"/>
      <c r="G887" s="112"/>
      <c r="H887" s="112"/>
      <c r="I887" s="112"/>
      <c r="N887" s="112"/>
      <c r="R887" s="112"/>
      <c r="V887" s="112"/>
      <c r="Z887" s="112"/>
      <c r="AA887" s="112"/>
      <c r="AB887" s="112"/>
      <c r="AC887" s="112"/>
      <c r="AD887" s="112"/>
    </row>
    <row r="888" ht="15.75" customHeight="1">
      <c r="F888" s="115"/>
      <c r="G888" s="112"/>
      <c r="H888" s="112"/>
      <c r="I888" s="112"/>
      <c r="N888" s="112"/>
      <c r="R888" s="112"/>
      <c r="V888" s="112"/>
      <c r="Z888" s="112"/>
      <c r="AA888" s="112"/>
      <c r="AB888" s="112"/>
      <c r="AC888" s="112"/>
      <c r="AD888" s="112"/>
    </row>
    <row r="889" ht="15.75" customHeight="1">
      <c r="F889" s="115"/>
      <c r="G889" s="112"/>
      <c r="H889" s="112"/>
      <c r="I889" s="112"/>
      <c r="N889" s="112"/>
      <c r="R889" s="112"/>
      <c r="V889" s="112"/>
      <c r="Z889" s="112"/>
      <c r="AA889" s="112"/>
      <c r="AB889" s="112"/>
      <c r="AC889" s="112"/>
      <c r="AD889" s="112"/>
    </row>
    <row r="890">
      <c r="F890" s="115"/>
    </row>
    <row r="891">
      <c r="F891" s="115"/>
    </row>
    <row r="892">
      <c r="F892" s="115"/>
    </row>
    <row r="893">
      <c r="F893" s="115"/>
    </row>
    <row r="894">
      <c r="F894" s="115"/>
    </row>
    <row r="895">
      <c r="F895" s="115"/>
    </row>
    <row r="896">
      <c r="F896" s="115"/>
    </row>
    <row r="897">
      <c r="F897" s="115"/>
    </row>
    <row r="898">
      <c r="F898" s="115"/>
    </row>
    <row r="899">
      <c r="F899" s="115"/>
    </row>
    <row r="900">
      <c r="F900" s="115"/>
    </row>
    <row r="901">
      <c r="F901" s="115"/>
    </row>
    <row r="902">
      <c r="F902" s="115"/>
    </row>
    <row r="903">
      <c r="F903" s="115"/>
    </row>
    <row r="904">
      <c r="F904" s="115"/>
    </row>
    <row r="905">
      <c r="F905" s="115"/>
    </row>
    <row r="906">
      <c r="F906" s="115"/>
    </row>
    <row r="907">
      <c r="F907" s="115"/>
    </row>
    <row r="908">
      <c r="F908" s="115"/>
    </row>
    <row r="909">
      <c r="F909" s="115"/>
    </row>
    <row r="910">
      <c r="F910" s="115"/>
    </row>
    <row r="911">
      <c r="F911" s="115"/>
    </row>
    <row r="912">
      <c r="F912" s="115"/>
    </row>
    <row r="913">
      <c r="F913" s="115"/>
    </row>
    <row r="914">
      <c r="F914" s="115"/>
    </row>
    <row r="915">
      <c r="F915" s="115"/>
    </row>
    <row r="916">
      <c r="F916" s="115"/>
    </row>
    <row r="917">
      <c r="F917" s="115"/>
    </row>
    <row r="918">
      <c r="F918" s="115"/>
    </row>
    <row r="919">
      <c r="F919" s="115"/>
    </row>
    <row r="920">
      <c r="F920" s="115"/>
    </row>
    <row r="921">
      <c r="F921" s="115"/>
    </row>
    <row r="922">
      <c r="F922" s="115"/>
    </row>
    <row r="923">
      <c r="F923" s="115"/>
    </row>
    <row r="924">
      <c r="F924" s="115"/>
    </row>
    <row r="925">
      <c r="F925" s="115"/>
    </row>
    <row r="926">
      <c r="F926" s="115"/>
    </row>
    <row r="927">
      <c r="F927" s="115"/>
    </row>
    <row r="928">
      <c r="F928" s="115"/>
    </row>
    <row r="929">
      <c r="F929" s="115"/>
    </row>
    <row r="930">
      <c r="F930" s="115"/>
    </row>
    <row r="931">
      <c r="F931" s="115"/>
    </row>
    <row r="932">
      <c r="F932" s="115"/>
    </row>
    <row r="933">
      <c r="F933" s="115"/>
    </row>
    <row r="934">
      <c r="F934" s="115"/>
    </row>
    <row r="935">
      <c r="F935" s="115"/>
    </row>
    <row r="936">
      <c r="F936" s="115"/>
    </row>
    <row r="937">
      <c r="F937" s="115"/>
    </row>
    <row r="938">
      <c r="F938" s="115"/>
    </row>
    <row r="939">
      <c r="F939" s="115"/>
    </row>
    <row r="940">
      <c r="F940" s="115"/>
    </row>
    <row r="941">
      <c r="F941" s="115"/>
    </row>
    <row r="942">
      <c r="F942" s="115"/>
    </row>
    <row r="943">
      <c r="F943" s="115"/>
    </row>
    <row r="944">
      <c r="F944" s="115"/>
    </row>
    <row r="945">
      <c r="F945" s="115"/>
    </row>
    <row r="946">
      <c r="F946" s="115"/>
    </row>
    <row r="947">
      <c r="F947" s="115"/>
    </row>
    <row r="948">
      <c r="F948" s="115"/>
    </row>
    <row r="949">
      <c r="F949" s="115"/>
    </row>
    <row r="950">
      <c r="F950" s="115"/>
    </row>
    <row r="951">
      <c r="F951" s="115"/>
    </row>
    <row r="952">
      <c r="F952" s="115"/>
    </row>
    <row r="953">
      <c r="F953" s="115"/>
    </row>
    <row r="954">
      <c r="F954" s="115"/>
    </row>
    <row r="955">
      <c r="F955" s="115"/>
    </row>
    <row r="956">
      <c r="F956" s="115"/>
    </row>
    <row r="957">
      <c r="F957" s="115"/>
    </row>
    <row r="958">
      <c r="F958" s="115"/>
    </row>
    <row r="959">
      <c r="F959" s="115"/>
    </row>
    <row r="960">
      <c r="F960" s="115"/>
    </row>
    <row r="961">
      <c r="F961" s="115"/>
    </row>
    <row r="962">
      <c r="F962" s="115"/>
    </row>
    <row r="963">
      <c r="F963" s="115"/>
    </row>
    <row r="964">
      <c r="F964" s="115"/>
    </row>
    <row r="965">
      <c r="F965" s="115"/>
    </row>
    <row r="966">
      <c r="F966" s="115"/>
    </row>
    <row r="967">
      <c r="F967" s="115"/>
    </row>
    <row r="968">
      <c r="F968" s="115"/>
    </row>
    <row r="969">
      <c r="F969" s="115"/>
    </row>
    <row r="970">
      <c r="F970" s="115"/>
    </row>
    <row r="971">
      <c r="F971" s="115"/>
    </row>
    <row r="972">
      <c r="F972" s="115"/>
    </row>
    <row r="973">
      <c r="F973" s="115"/>
    </row>
    <row r="974">
      <c r="F974" s="115"/>
    </row>
    <row r="975">
      <c r="F975" s="115"/>
    </row>
    <row r="976">
      <c r="F976" s="115"/>
    </row>
    <row r="977">
      <c r="F977" s="115"/>
    </row>
    <row r="978">
      <c r="F978" s="115"/>
    </row>
    <row r="979">
      <c r="F979" s="115"/>
    </row>
    <row r="980">
      <c r="F980" s="115"/>
    </row>
    <row r="981">
      <c r="F981" s="115"/>
    </row>
    <row r="982">
      <c r="F982" s="115"/>
    </row>
    <row r="983">
      <c r="F983" s="115"/>
    </row>
    <row r="984">
      <c r="F984" s="115"/>
    </row>
    <row r="985">
      <c r="F985" s="115"/>
    </row>
    <row r="986">
      <c r="F986" s="115"/>
    </row>
    <row r="987">
      <c r="F987" s="115"/>
    </row>
    <row r="988">
      <c r="F988" s="115"/>
    </row>
    <row r="989">
      <c r="F989" s="115"/>
    </row>
    <row r="990">
      <c r="F990" s="115"/>
    </row>
    <row r="991">
      <c r="F991" s="115"/>
    </row>
    <row r="992">
      <c r="F992" s="115"/>
    </row>
    <row r="993">
      <c r="F993" s="115"/>
    </row>
    <row r="994">
      <c r="F994" s="115"/>
    </row>
    <row r="995">
      <c r="F995" s="115"/>
    </row>
    <row r="996">
      <c r="F996" s="115"/>
    </row>
    <row r="997">
      <c r="F997" s="115"/>
    </row>
    <row r="998">
      <c r="F998" s="115"/>
    </row>
    <row r="999">
      <c r="F999" s="115"/>
    </row>
    <row r="1000">
      <c r="F1000" s="115"/>
    </row>
    <row r="1001">
      <c r="F1001" s="115"/>
    </row>
    <row r="1002">
      <c r="F1002" s="115"/>
    </row>
    <row r="1003">
      <c r="F1003" s="115"/>
    </row>
    <row r="1004">
      <c r="F1004" s="115"/>
    </row>
  </sheetData>
  <mergeCells count="50">
    <mergeCell ref="AA1:AA2"/>
    <mergeCell ref="AB1:AB2"/>
    <mergeCell ref="AC1:AC2"/>
    <mergeCell ref="AD1:AD2"/>
    <mergeCell ref="H1:H2"/>
    <mergeCell ref="I1:I2"/>
    <mergeCell ref="J1:J2"/>
    <mergeCell ref="K1:N1"/>
    <mergeCell ref="O1:R1"/>
    <mergeCell ref="S1:V1"/>
    <mergeCell ref="W1:Z1"/>
    <mergeCell ref="A1:A2"/>
    <mergeCell ref="B1:B2"/>
    <mergeCell ref="C1:C2"/>
    <mergeCell ref="D1:D2"/>
    <mergeCell ref="E1:E2"/>
    <mergeCell ref="F1:F2"/>
    <mergeCell ref="G1:G2"/>
    <mergeCell ref="D3:D4"/>
    <mergeCell ref="B3:B16"/>
    <mergeCell ref="C3:C16"/>
    <mergeCell ref="G3:G16"/>
    <mergeCell ref="H3:H16"/>
    <mergeCell ref="I3:I16"/>
    <mergeCell ref="D5:D10"/>
    <mergeCell ref="D11:D16"/>
    <mergeCell ref="G19:G32"/>
    <mergeCell ref="G35:G48"/>
    <mergeCell ref="H35:H48"/>
    <mergeCell ref="I35:I48"/>
    <mergeCell ref="G51:G66"/>
    <mergeCell ref="H51:H66"/>
    <mergeCell ref="I51:I66"/>
    <mergeCell ref="C19:C32"/>
    <mergeCell ref="D19:D20"/>
    <mergeCell ref="H19:H32"/>
    <mergeCell ref="I19:I32"/>
    <mergeCell ref="D21:D26"/>
    <mergeCell ref="D27:D32"/>
    <mergeCell ref="D35:D36"/>
    <mergeCell ref="D51:D52"/>
    <mergeCell ref="D53:D58"/>
    <mergeCell ref="B19:B32"/>
    <mergeCell ref="B35:B48"/>
    <mergeCell ref="C35:C48"/>
    <mergeCell ref="D37:D42"/>
    <mergeCell ref="D43:D48"/>
    <mergeCell ref="B51:B66"/>
    <mergeCell ref="C51:C66"/>
    <mergeCell ref="D59:D66"/>
  </mergeCells>
  <printOptions/>
  <pageMargins bottom="0.75" footer="0.0" header="0.0" left="0.17" right="0.1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0"/>
  <cols>
    <col customWidth="1" min="1" max="1" width="5.38"/>
    <col customWidth="1" min="2" max="2" width="14.38"/>
    <col customWidth="1" min="3" max="3" width="7.63"/>
    <col customWidth="1" min="4" max="4" width="14.0"/>
    <col customWidth="1" min="5" max="5" width="28.63"/>
    <col customWidth="1" min="6" max="6" width="12.88"/>
    <col customWidth="1" min="7" max="7" width="11.13"/>
    <col customWidth="1" min="8" max="8" width="9.38"/>
    <col customWidth="1" min="9" max="9" width="10.88"/>
    <col customWidth="1" min="10" max="13" width="5.38"/>
    <col customWidth="1" min="14" max="41" width="6.0"/>
    <col customWidth="1" min="42" max="45" width="5.38"/>
    <col customWidth="1" min="46" max="47" width="12.38"/>
  </cols>
  <sheetData>
    <row r="1" ht="40.5" customHeight="1">
      <c r="A1" s="1" t="s">
        <v>0</v>
      </c>
      <c r="B1" s="2" t="s">
        <v>1</v>
      </c>
      <c r="C1" s="1" t="s">
        <v>2</v>
      </c>
      <c r="D1" s="1" t="s">
        <v>50</v>
      </c>
      <c r="E1" s="3" t="s">
        <v>51</v>
      </c>
      <c r="F1" s="9" t="s">
        <v>14</v>
      </c>
      <c r="G1" s="9" t="s">
        <v>15</v>
      </c>
      <c r="H1" s="9" t="s">
        <v>16</v>
      </c>
      <c r="I1" s="9" t="s">
        <v>17</v>
      </c>
      <c r="J1" s="6" t="s">
        <v>25</v>
      </c>
      <c r="K1" s="7"/>
      <c r="L1" s="7"/>
      <c r="M1" s="8"/>
      <c r="N1" s="6" t="s">
        <v>26</v>
      </c>
      <c r="O1" s="7"/>
      <c r="P1" s="7"/>
      <c r="Q1" s="8"/>
      <c r="R1" s="6" t="s">
        <v>28</v>
      </c>
      <c r="S1" s="7"/>
      <c r="T1" s="7"/>
      <c r="U1" s="8"/>
      <c r="V1" s="6" t="s">
        <v>29</v>
      </c>
      <c r="W1" s="7"/>
      <c r="X1" s="7"/>
      <c r="Y1" s="8"/>
      <c r="Z1" s="6" t="s">
        <v>30</v>
      </c>
      <c r="AA1" s="7"/>
      <c r="AB1" s="7"/>
      <c r="AC1" s="8"/>
      <c r="AD1" s="6" t="s">
        <v>31</v>
      </c>
      <c r="AE1" s="7"/>
      <c r="AF1" s="7"/>
      <c r="AG1" s="8"/>
      <c r="AH1" s="6" t="s">
        <v>32</v>
      </c>
      <c r="AI1" s="7"/>
      <c r="AJ1" s="7"/>
      <c r="AK1" s="8"/>
      <c r="AL1" s="6" t="s">
        <v>33</v>
      </c>
      <c r="AM1" s="7"/>
      <c r="AN1" s="7"/>
      <c r="AO1" s="8"/>
      <c r="AP1" s="9" t="s">
        <v>14</v>
      </c>
      <c r="AQ1" s="9" t="s">
        <v>15</v>
      </c>
      <c r="AR1" s="9" t="s">
        <v>16</v>
      </c>
      <c r="AS1" s="9" t="s">
        <v>17</v>
      </c>
      <c r="AT1" s="116"/>
      <c r="AU1" s="116"/>
    </row>
    <row r="2" ht="21.0" customHeight="1">
      <c r="A2" s="10"/>
      <c r="B2" s="10"/>
      <c r="C2" s="10"/>
      <c r="D2" s="10"/>
      <c r="E2" s="10"/>
      <c r="F2" s="10"/>
      <c r="G2" s="10"/>
      <c r="H2" s="10"/>
      <c r="I2" s="10"/>
      <c r="J2" s="11" t="s">
        <v>18</v>
      </c>
      <c r="K2" s="11" t="s">
        <v>19</v>
      </c>
      <c r="L2" s="11" t="s">
        <v>20</v>
      </c>
      <c r="M2" s="11" t="s">
        <v>21</v>
      </c>
      <c r="N2" s="11" t="s">
        <v>18</v>
      </c>
      <c r="O2" s="11" t="s">
        <v>19</v>
      </c>
      <c r="P2" s="11" t="s">
        <v>20</v>
      </c>
      <c r="Q2" s="11" t="s">
        <v>21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18</v>
      </c>
      <c r="W2" s="11" t="s">
        <v>19</v>
      </c>
      <c r="X2" s="11" t="s">
        <v>20</v>
      </c>
      <c r="Y2" s="11" t="s">
        <v>21</v>
      </c>
      <c r="Z2" s="11" t="s">
        <v>18</v>
      </c>
      <c r="AA2" s="11" t="s">
        <v>19</v>
      </c>
      <c r="AB2" s="11" t="s">
        <v>20</v>
      </c>
      <c r="AC2" s="11" t="s">
        <v>21</v>
      </c>
      <c r="AD2" s="11" t="s">
        <v>18</v>
      </c>
      <c r="AE2" s="11" t="s">
        <v>19</v>
      </c>
      <c r="AF2" s="11" t="s">
        <v>20</v>
      </c>
      <c r="AG2" s="11" t="s">
        <v>21</v>
      </c>
      <c r="AH2" s="11" t="s">
        <v>18</v>
      </c>
      <c r="AI2" s="11" t="s">
        <v>19</v>
      </c>
      <c r="AJ2" s="11" t="s">
        <v>20</v>
      </c>
      <c r="AK2" s="11" t="s">
        <v>21</v>
      </c>
      <c r="AL2" s="11" t="s">
        <v>18</v>
      </c>
      <c r="AM2" s="11" t="s">
        <v>19</v>
      </c>
      <c r="AN2" s="11" t="s">
        <v>20</v>
      </c>
      <c r="AO2" s="11" t="s">
        <v>21</v>
      </c>
      <c r="AP2" s="10"/>
      <c r="AQ2" s="10"/>
      <c r="AR2" s="10"/>
      <c r="AS2" s="10"/>
      <c r="AT2" s="116"/>
      <c r="AU2" s="116"/>
    </row>
    <row r="3" ht="15.75" customHeight="1">
      <c r="A3" s="14">
        <v>1.0</v>
      </c>
      <c r="B3" s="117" t="s">
        <v>22</v>
      </c>
      <c r="C3" s="118" t="s">
        <v>23</v>
      </c>
      <c r="D3" s="119" t="s">
        <v>52</v>
      </c>
      <c r="E3" s="120" t="s">
        <v>53</v>
      </c>
      <c r="F3" s="121">
        <f t="shared" ref="F3:H3" si="1">AP3</f>
        <v>32</v>
      </c>
      <c r="G3" s="121">
        <f t="shared" si="1"/>
        <v>47</v>
      </c>
      <c r="H3" s="121">
        <f t="shared" si="1"/>
        <v>0</v>
      </c>
      <c r="I3" s="122">
        <f t="shared" ref="I3:I12" si="3">H3+G3+F3</f>
        <v>79</v>
      </c>
      <c r="J3" s="123">
        <v>0.0</v>
      </c>
      <c r="K3" s="123">
        <v>0.0</v>
      </c>
      <c r="L3" s="123">
        <v>0.0</v>
      </c>
      <c r="M3" s="123">
        <f t="shared" ref="M3:M12" si="4">L3+K3+J3</f>
        <v>0</v>
      </c>
      <c r="N3" s="123">
        <v>31.0</v>
      </c>
      <c r="O3" s="123">
        <v>36.0</v>
      </c>
      <c r="P3" s="123">
        <v>0.0</v>
      </c>
      <c r="Q3" s="123">
        <f t="shared" ref="Q3:Q12" si="5">P3+O3+N3</f>
        <v>67</v>
      </c>
      <c r="R3" s="123">
        <v>0.0</v>
      </c>
      <c r="S3" s="123">
        <v>0.0</v>
      </c>
      <c r="T3" s="123">
        <v>0.0</v>
      </c>
      <c r="U3" s="123">
        <f t="shared" ref="U3:U12" si="6">T3+S3+R3</f>
        <v>0</v>
      </c>
      <c r="V3" s="123">
        <v>1.0</v>
      </c>
      <c r="W3" s="123">
        <v>11.0</v>
      </c>
      <c r="X3" s="123">
        <v>0.0</v>
      </c>
      <c r="Y3" s="123">
        <f t="shared" ref="Y3:Y12" si="7">X3+W3+V3</f>
        <v>12</v>
      </c>
      <c r="Z3" s="123">
        <v>0.0</v>
      </c>
      <c r="AA3" s="123">
        <v>0.0</v>
      </c>
      <c r="AB3" s="123">
        <v>0.0</v>
      </c>
      <c r="AC3" s="123">
        <f t="shared" ref="AC3:AC12" si="8">AB3+AA3+Z3</f>
        <v>0</v>
      </c>
      <c r="AD3" s="123">
        <v>0.0</v>
      </c>
      <c r="AE3" s="123">
        <v>0.0</v>
      </c>
      <c r="AF3" s="123">
        <v>0.0</v>
      </c>
      <c r="AG3" s="123">
        <f t="shared" ref="AG3:AG12" si="9">AF3+AE3+AD3</f>
        <v>0</v>
      </c>
      <c r="AH3" s="123">
        <v>0.0</v>
      </c>
      <c r="AI3" s="123">
        <v>0.0</v>
      </c>
      <c r="AJ3" s="123">
        <v>0.0</v>
      </c>
      <c r="AK3" s="123">
        <f t="shared" ref="AK3:AK12" si="10">AJ3+AI3+AH3</f>
        <v>0</v>
      </c>
      <c r="AL3" s="123">
        <v>0.0</v>
      </c>
      <c r="AM3" s="123">
        <v>0.0</v>
      </c>
      <c r="AN3" s="123">
        <v>0.0</v>
      </c>
      <c r="AO3" s="123">
        <f t="shared" ref="AO3:AO12" si="11">AN3+AM3+AL3</f>
        <v>0</v>
      </c>
      <c r="AP3" s="123">
        <f t="shared" ref="AP3:AR3" si="2">AL3+AH3+AD3+Z3+V3+R3+N3+J3</f>
        <v>32</v>
      </c>
      <c r="AQ3" s="123">
        <f t="shared" si="2"/>
        <v>47</v>
      </c>
      <c r="AR3" s="123">
        <f t="shared" si="2"/>
        <v>0</v>
      </c>
      <c r="AS3" s="121">
        <f t="shared" ref="AS3:AS13" si="13">AR3+AQ3+AP3</f>
        <v>79</v>
      </c>
      <c r="AT3" s="64"/>
      <c r="AU3" s="64"/>
    </row>
    <row r="4" ht="15.75" customHeight="1">
      <c r="A4" s="24"/>
      <c r="B4" s="24"/>
      <c r="C4" s="24"/>
      <c r="D4" s="10"/>
      <c r="E4" s="120" t="s">
        <v>54</v>
      </c>
      <c r="F4" s="121">
        <v>0.0</v>
      </c>
      <c r="G4" s="121">
        <v>0.0</v>
      </c>
      <c r="H4" s="121">
        <v>0.0</v>
      </c>
      <c r="I4" s="122">
        <f t="shared" si="3"/>
        <v>0</v>
      </c>
      <c r="J4" s="123">
        <v>0.0</v>
      </c>
      <c r="K4" s="123">
        <v>0.0</v>
      </c>
      <c r="L4" s="123">
        <v>0.0</v>
      </c>
      <c r="M4" s="123">
        <f t="shared" si="4"/>
        <v>0</v>
      </c>
      <c r="N4" s="123">
        <v>0.0</v>
      </c>
      <c r="O4" s="123">
        <v>0.0</v>
      </c>
      <c r="P4" s="123">
        <v>0.0</v>
      </c>
      <c r="Q4" s="123">
        <f t="shared" si="5"/>
        <v>0</v>
      </c>
      <c r="R4" s="123">
        <v>0.0</v>
      </c>
      <c r="S4" s="123">
        <v>0.0</v>
      </c>
      <c r="T4" s="123">
        <v>0.0</v>
      </c>
      <c r="U4" s="123">
        <f t="shared" si="6"/>
        <v>0</v>
      </c>
      <c r="V4" s="123">
        <v>0.0</v>
      </c>
      <c r="W4" s="123">
        <v>0.0</v>
      </c>
      <c r="X4" s="123">
        <v>0.0</v>
      </c>
      <c r="Y4" s="123">
        <f t="shared" si="7"/>
        <v>0</v>
      </c>
      <c r="Z4" s="123">
        <v>0.0</v>
      </c>
      <c r="AA4" s="123">
        <v>0.0</v>
      </c>
      <c r="AB4" s="123">
        <v>0.0</v>
      </c>
      <c r="AC4" s="123">
        <f t="shared" si="8"/>
        <v>0</v>
      </c>
      <c r="AD4" s="123">
        <v>0.0</v>
      </c>
      <c r="AE4" s="123">
        <v>0.0</v>
      </c>
      <c r="AF4" s="123">
        <v>0.0</v>
      </c>
      <c r="AG4" s="123">
        <f t="shared" si="9"/>
        <v>0</v>
      </c>
      <c r="AH4" s="123">
        <v>0.0</v>
      </c>
      <c r="AI4" s="123">
        <v>0.0</v>
      </c>
      <c r="AJ4" s="123">
        <v>0.0</v>
      </c>
      <c r="AK4" s="123">
        <f t="shared" si="10"/>
        <v>0</v>
      </c>
      <c r="AL4" s="123">
        <v>0.0</v>
      </c>
      <c r="AM4" s="123">
        <v>0.0</v>
      </c>
      <c r="AN4" s="123">
        <v>0.0</v>
      </c>
      <c r="AO4" s="123">
        <f t="shared" si="11"/>
        <v>0</v>
      </c>
      <c r="AP4" s="123">
        <f t="shared" ref="AP4:AR4" si="12">AL4+AH4+AD4+Z4+V4+R4+N4+J4</f>
        <v>0</v>
      </c>
      <c r="AQ4" s="123">
        <f t="shared" si="12"/>
        <v>0</v>
      </c>
      <c r="AR4" s="123">
        <f t="shared" si="12"/>
        <v>0</v>
      </c>
      <c r="AS4" s="121">
        <f t="shared" si="13"/>
        <v>0</v>
      </c>
      <c r="AT4" s="64"/>
      <c r="AU4" s="64"/>
    </row>
    <row r="5" ht="15.75" customHeight="1">
      <c r="A5" s="24"/>
      <c r="B5" s="24"/>
      <c r="C5" s="24"/>
      <c r="D5" s="119" t="s">
        <v>55</v>
      </c>
      <c r="E5" s="120" t="s">
        <v>56</v>
      </c>
      <c r="F5" s="121">
        <v>0.0</v>
      </c>
      <c r="G5" s="121">
        <f>AQ5</f>
        <v>0</v>
      </c>
      <c r="H5" s="121">
        <v>0.0</v>
      </c>
      <c r="I5" s="122">
        <f t="shared" si="3"/>
        <v>0</v>
      </c>
      <c r="J5" s="123">
        <v>0.0</v>
      </c>
      <c r="K5" s="123">
        <v>0.0</v>
      </c>
      <c r="L5" s="123">
        <v>0.0</v>
      </c>
      <c r="M5" s="123">
        <f t="shared" si="4"/>
        <v>0</v>
      </c>
      <c r="N5" s="123">
        <v>0.0</v>
      </c>
      <c r="O5" s="123">
        <v>0.0</v>
      </c>
      <c r="P5" s="123">
        <v>0.0</v>
      </c>
      <c r="Q5" s="123">
        <f t="shared" si="5"/>
        <v>0</v>
      </c>
      <c r="R5" s="123">
        <v>0.0</v>
      </c>
      <c r="S5" s="123">
        <v>0.0</v>
      </c>
      <c r="T5" s="123">
        <v>0.0</v>
      </c>
      <c r="U5" s="123">
        <f t="shared" si="6"/>
        <v>0</v>
      </c>
      <c r="V5" s="123">
        <v>0.0</v>
      </c>
      <c r="W5" s="123">
        <v>0.0</v>
      </c>
      <c r="X5" s="123">
        <v>0.0</v>
      </c>
      <c r="Y5" s="123">
        <f t="shared" si="7"/>
        <v>0</v>
      </c>
      <c r="Z5" s="123">
        <v>0.0</v>
      </c>
      <c r="AA5" s="123">
        <v>0.0</v>
      </c>
      <c r="AB5" s="123">
        <v>0.0</v>
      </c>
      <c r="AC5" s="123">
        <f t="shared" si="8"/>
        <v>0</v>
      </c>
      <c r="AD5" s="123">
        <v>0.0</v>
      </c>
      <c r="AE5" s="123">
        <v>0.0</v>
      </c>
      <c r="AF5" s="123">
        <v>0.0</v>
      </c>
      <c r="AG5" s="123">
        <f t="shared" si="9"/>
        <v>0</v>
      </c>
      <c r="AH5" s="123">
        <v>0.0</v>
      </c>
      <c r="AI5" s="123">
        <v>0.0</v>
      </c>
      <c r="AJ5" s="123">
        <v>0.0</v>
      </c>
      <c r="AK5" s="123">
        <f t="shared" si="10"/>
        <v>0</v>
      </c>
      <c r="AL5" s="123">
        <v>0.0</v>
      </c>
      <c r="AM5" s="123">
        <v>0.0</v>
      </c>
      <c r="AN5" s="123">
        <v>0.0</v>
      </c>
      <c r="AO5" s="123">
        <f t="shared" si="11"/>
        <v>0</v>
      </c>
      <c r="AP5" s="123">
        <f t="shared" ref="AP5:AR5" si="14">AL5+AH5+AD5+Z5+V5+R5+N5+J5</f>
        <v>0</v>
      </c>
      <c r="AQ5" s="123">
        <f t="shared" si="14"/>
        <v>0</v>
      </c>
      <c r="AR5" s="123">
        <f t="shared" si="14"/>
        <v>0</v>
      </c>
      <c r="AS5" s="121">
        <f t="shared" si="13"/>
        <v>0</v>
      </c>
      <c r="AT5" s="64"/>
      <c r="AU5" s="64"/>
    </row>
    <row r="6" ht="15.75" customHeight="1">
      <c r="A6" s="24"/>
      <c r="B6" s="24"/>
      <c r="C6" s="24"/>
      <c r="D6" s="10"/>
      <c r="E6" s="120" t="s">
        <v>54</v>
      </c>
      <c r="F6" s="121">
        <v>0.0</v>
      </c>
      <c r="G6" s="121">
        <v>0.0</v>
      </c>
      <c r="H6" s="121">
        <v>0.0</v>
      </c>
      <c r="I6" s="122">
        <f t="shared" si="3"/>
        <v>0</v>
      </c>
      <c r="J6" s="123">
        <v>0.0</v>
      </c>
      <c r="K6" s="123">
        <v>0.0</v>
      </c>
      <c r="L6" s="123">
        <v>0.0</v>
      </c>
      <c r="M6" s="123">
        <f t="shared" si="4"/>
        <v>0</v>
      </c>
      <c r="N6" s="123">
        <v>0.0</v>
      </c>
      <c r="O6" s="123">
        <v>0.0</v>
      </c>
      <c r="P6" s="123">
        <v>0.0</v>
      </c>
      <c r="Q6" s="123">
        <f t="shared" si="5"/>
        <v>0</v>
      </c>
      <c r="R6" s="123">
        <v>0.0</v>
      </c>
      <c r="S6" s="123">
        <v>0.0</v>
      </c>
      <c r="T6" s="123">
        <v>0.0</v>
      </c>
      <c r="U6" s="123">
        <f t="shared" si="6"/>
        <v>0</v>
      </c>
      <c r="V6" s="123">
        <v>0.0</v>
      </c>
      <c r="W6" s="123">
        <v>0.0</v>
      </c>
      <c r="X6" s="123">
        <v>0.0</v>
      </c>
      <c r="Y6" s="123">
        <f t="shared" si="7"/>
        <v>0</v>
      </c>
      <c r="Z6" s="123">
        <v>0.0</v>
      </c>
      <c r="AA6" s="123">
        <v>0.0</v>
      </c>
      <c r="AB6" s="123">
        <v>0.0</v>
      </c>
      <c r="AC6" s="123">
        <f t="shared" si="8"/>
        <v>0</v>
      </c>
      <c r="AD6" s="123">
        <v>0.0</v>
      </c>
      <c r="AE6" s="123">
        <v>0.0</v>
      </c>
      <c r="AF6" s="123">
        <v>0.0</v>
      </c>
      <c r="AG6" s="123">
        <f t="shared" si="9"/>
        <v>0</v>
      </c>
      <c r="AH6" s="123">
        <v>0.0</v>
      </c>
      <c r="AI6" s="123">
        <v>0.0</v>
      </c>
      <c r="AJ6" s="123">
        <v>0.0</v>
      </c>
      <c r="AK6" s="123">
        <f t="shared" si="10"/>
        <v>0</v>
      </c>
      <c r="AL6" s="123">
        <v>0.0</v>
      </c>
      <c r="AM6" s="123">
        <v>0.0</v>
      </c>
      <c r="AN6" s="123">
        <v>0.0</v>
      </c>
      <c r="AO6" s="123">
        <f t="shared" si="11"/>
        <v>0</v>
      </c>
      <c r="AP6" s="123">
        <f t="shared" ref="AP6:AR6" si="15">AL6+AH6+AD6+Z6+V6+R6+N6+J6</f>
        <v>0</v>
      </c>
      <c r="AQ6" s="123">
        <f t="shared" si="15"/>
        <v>0</v>
      </c>
      <c r="AR6" s="123">
        <f t="shared" si="15"/>
        <v>0</v>
      </c>
      <c r="AS6" s="121">
        <f t="shared" si="13"/>
        <v>0</v>
      </c>
      <c r="AT6" s="64"/>
      <c r="AU6" s="64"/>
    </row>
    <row r="7" ht="15.75" customHeight="1">
      <c r="A7" s="24"/>
      <c r="B7" s="24"/>
      <c r="C7" s="24"/>
      <c r="D7" s="119" t="s">
        <v>57</v>
      </c>
      <c r="E7" s="120" t="s">
        <v>53</v>
      </c>
      <c r="F7" s="121">
        <f t="shared" ref="F7:H7" si="16">AP7</f>
        <v>0</v>
      </c>
      <c r="G7" s="121">
        <f t="shared" si="16"/>
        <v>0</v>
      </c>
      <c r="H7" s="121">
        <f t="shared" si="16"/>
        <v>0</v>
      </c>
      <c r="I7" s="122">
        <f t="shared" si="3"/>
        <v>0</v>
      </c>
      <c r="J7" s="123">
        <v>0.0</v>
      </c>
      <c r="K7" s="123">
        <v>0.0</v>
      </c>
      <c r="L7" s="123">
        <v>0.0</v>
      </c>
      <c r="M7" s="123">
        <f t="shared" si="4"/>
        <v>0</v>
      </c>
      <c r="N7" s="123">
        <v>0.0</v>
      </c>
      <c r="O7" s="123">
        <v>0.0</v>
      </c>
      <c r="P7" s="123">
        <v>0.0</v>
      </c>
      <c r="Q7" s="123">
        <f t="shared" si="5"/>
        <v>0</v>
      </c>
      <c r="R7" s="123">
        <v>0.0</v>
      </c>
      <c r="S7" s="123">
        <v>0.0</v>
      </c>
      <c r="T7" s="123">
        <v>0.0</v>
      </c>
      <c r="U7" s="123">
        <f t="shared" si="6"/>
        <v>0</v>
      </c>
      <c r="V7" s="123">
        <v>0.0</v>
      </c>
      <c r="W7" s="123">
        <v>0.0</v>
      </c>
      <c r="X7" s="123">
        <v>0.0</v>
      </c>
      <c r="Y7" s="123">
        <f t="shared" si="7"/>
        <v>0</v>
      </c>
      <c r="Z7" s="123">
        <v>0.0</v>
      </c>
      <c r="AA7" s="123">
        <v>0.0</v>
      </c>
      <c r="AB7" s="123">
        <v>0.0</v>
      </c>
      <c r="AC7" s="123">
        <f t="shared" si="8"/>
        <v>0</v>
      </c>
      <c r="AD7" s="123">
        <v>0.0</v>
      </c>
      <c r="AE7" s="123">
        <v>0.0</v>
      </c>
      <c r="AF7" s="123">
        <v>0.0</v>
      </c>
      <c r="AG7" s="123">
        <f t="shared" si="9"/>
        <v>0</v>
      </c>
      <c r="AH7" s="123">
        <v>0.0</v>
      </c>
      <c r="AI7" s="123">
        <v>0.0</v>
      </c>
      <c r="AJ7" s="123">
        <v>0.0</v>
      </c>
      <c r="AK7" s="123">
        <f t="shared" si="10"/>
        <v>0</v>
      </c>
      <c r="AL7" s="123">
        <v>0.0</v>
      </c>
      <c r="AM7" s="123">
        <v>0.0</v>
      </c>
      <c r="AN7" s="123">
        <v>0.0</v>
      </c>
      <c r="AO7" s="123">
        <f t="shared" si="11"/>
        <v>0</v>
      </c>
      <c r="AP7" s="123">
        <f t="shared" ref="AP7:AR7" si="17">AL7+AH7+AD7+Z7+V7+R7+N7+J7</f>
        <v>0</v>
      </c>
      <c r="AQ7" s="123">
        <f t="shared" si="17"/>
        <v>0</v>
      </c>
      <c r="AR7" s="123">
        <f t="shared" si="17"/>
        <v>0</v>
      </c>
      <c r="AS7" s="121">
        <f t="shared" si="13"/>
        <v>0</v>
      </c>
      <c r="AT7" s="64"/>
      <c r="AU7" s="64"/>
    </row>
    <row r="8" ht="15.75" customHeight="1">
      <c r="A8" s="24"/>
      <c r="B8" s="24"/>
      <c r="C8" s="24"/>
      <c r="D8" s="10"/>
      <c r="E8" s="120" t="s">
        <v>54</v>
      </c>
      <c r="F8" s="121">
        <v>0.0</v>
      </c>
      <c r="G8" s="121">
        <v>0.0</v>
      </c>
      <c r="H8" s="121">
        <v>0.0</v>
      </c>
      <c r="I8" s="122">
        <f t="shared" si="3"/>
        <v>0</v>
      </c>
      <c r="J8" s="123">
        <v>0.0</v>
      </c>
      <c r="K8" s="123">
        <v>0.0</v>
      </c>
      <c r="L8" s="123">
        <v>0.0</v>
      </c>
      <c r="M8" s="123">
        <f t="shared" si="4"/>
        <v>0</v>
      </c>
      <c r="N8" s="123">
        <v>0.0</v>
      </c>
      <c r="O8" s="123">
        <v>0.0</v>
      </c>
      <c r="P8" s="123">
        <v>0.0</v>
      </c>
      <c r="Q8" s="123">
        <f t="shared" si="5"/>
        <v>0</v>
      </c>
      <c r="R8" s="123">
        <v>0.0</v>
      </c>
      <c r="S8" s="123">
        <v>0.0</v>
      </c>
      <c r="T8" s="123">
        <v>0.0</v>
      </c>
      <c r="U8" s="123">
        <f t="shared" si="6"/>
        <v>0</v>
      </c>
      <c r="V8" s="123">
        <v>0.0</v>
      </c>
      <c r="W8" s="123">
        <v>0.0</v>
      </c>
      <c r="X8" s="123">
        <v>0.0</v>
      </c>
      <c r="Y8" s="123">
        <f t="shared" si="7"/>
        <v>0</v>
      </c>
      <c r="Z8" s="123">
        <v>0.0</v>
      </c>
      <c r="AA8" s="123">
        <v>0.0</v>
      </c>
      <c r="AB8" s="123">
        <v>0.0</v>
      </c>
      <c r="AC8" s="123">
        <f t="shared" si="8"/>
        <v>0</v>
      </c>
      <c r="AD8" s="123">
        <v>0.0</v>
      </c>
      <c r="AE8" s="123">
        <v>0.0</v>
      </c>
      <c r="AF8" s="123">
        <v>0.0</v>
      </c>
      <c r="AG8" s="123">
        <f t="shared" si="9"/>
        <v>0</v>
      </c>
      <c r="AH8" s="123">
        <v>0.0</v>
      </c>
      <c r="AI8" s="123">
        <v>0.0</v>
      </c>
      <c r="AJ8" s="123">
        <v>0.0</v>
      </c>
      <c r="AK8" s="123">
        <f t="shared" si="10"/>
        <v>0</v>
      </c>
      <c r="AL8" s="123">
        <v>0.0</v>
      </c>
      <c r="AM8" s="123">
        <v>0.0</v>
      </c>
      <c r="AN8" s="123">
        <v>0.0</v>
      </c>
      <c r="AO8" s="123">
        <f t="shared" si="11"/>
        <v>0</v>
      </c>
      <c r="AP8" s="123">
        <f t="shared" ref="AP8:AR8" si="18">AL8+AH8+AD8+Z8+V8+R8+N8+J8</f>
        <v>0</v>
      </c>
      <c r="AQ8" s="123">
        <f t="shared" si="18"/>
        <v>0</v>
      </c>
      <c r="AR8" s="123">
        <f t="shared" si="18"/>
        <v>0</v>
      </c>
      <c r="AS8" s="121">
        <f t="shared" si="13"/>
        <v>0</v>
      </c>
      <c r="AT8" s="64"/>
      <c r="AU8" s="64"/>
    </row>
    <row r="9" ht="15.75" customHeight="1">
      <c r="A9" s="24"/>
      <c r="B9" s="24"/>
      <c r="C9" s="24"/>
      <c r="D9" s="119" t="s">
        <v>58</v>
      </c>
      <c r="E9" s="120" t="s">
        <v>56</v>
      </c>
      <c r="F9" s="121">
        <f t="shared" ref="F9:G9" si="19">AP9</f>
        <v>0</v>
      </c>
      <c r="G9" s="121">
        <f t="shared" si="19"/>
        <v>0</v>
      </c>
      <c r="H9" s="121">
        <v>0.0</v>
      </c>
      <c r="I9" s="122">
        <f t="shared" si="3"/>
        <v>0</v>
      </c>
      <c r="J9" s="123">
        <v>0.0</v>
      </c>
      <c r="K9" s="123">
        <v>0.0</v>
      </c>
      <c r="L9" s="123">
        <v>0.0</v>
      </c>
      <c r="M9" s="123">
        <f t="shared" si="4"/>
        <v>0</v>
      </c>
      <c r="N9" s="123">
        <v>0.0</v>
      </c>
      <c r="O9" s="123">
        <v>0.0</v>
      </c>
      <c r="P9" s="123">
        <v>0.0</v>
      </c>
      <c r="Q9" s="123">
        <f t="shared" si="5"/>
        <v>0</v>
      </c>
      <c r="R9" s="123">
        <v>0.0</v>
      </c>
      <c r="S9" s="123">
        <v>0.0</v>
      </c>
      <c r="T9" s="123">
        <v>0.0</v>
      </c>
      <c r="U9" s="123">
        <f t="shared" si="6"/>
        <v>0</v>
      </c>
      <c r="V9" s="123">
        <v>0.0</v>
      </c>
      <c r="W9" s="123">
        <v>0.0</v>
      </c>
      <c r="X9" s="123">
        <v>0.0</v>
      </c>
      <c r="Y9" s="123">
        <f t="shared" si="7"/>
        <v>0</v>
      </c>
      <c r="Z9" s="123">
        <v>0.0</v>
      </c>
      <c r="AA9" s="123">
        <v>0.0</v>
      </c>
      <c r="AB9" s="123">
        <v>0.0</v>
      </c>
      <c r="AC9" s="123">
        <f t="shared" si="8"/>
        <v>0</v>
      </c>
      <c r="AD9" s="123">
        <v>0.0</v>
      </c>
      <c r="AE9" s="123">
        <v>0.0</v>
      </c>
      <c r="AF9" s="123">
        <v>0.0</v>
      </c>
      <c r="AG9" s="123">
        <f t="shared" si="9"/>
        <v>0</v>
      </c>
      <c r="AH9" s="123">
        <v>0.0</v>
      </c>
      <c r="AI9" s="123">
        <v>0.0</v>
      </c>
      <c r="AJ9" s="123">
        <v>0.0</v>
      </c>
      <c r="AK9" s="123">
        <f t="shared" si="10"/>
        <v>0</v>
      </c>
      <c r="AL9" s="123">
        <v>0.0</v>
      </c>
      <c r="AM9" s="123">
        <v>0.0</v>
      </c>
      <c r="AN9" s="123">
        <v>0.0</v>
      </c>
      <c r="AO9" s="123">
        <f t="shared" si="11"/>
        <v>0</v>
      </c>
      <c r="AP9" s="123">
        <f t="shared" ref="AP9:AR9" si="20">AL9+AH9+AD9+Z9+V9+R9+N9+J9</f>
        <v>0</v>
      </c>
      <c r="AQ9" s="123">
        <f t="shared" si="20"/>
        <v>0</v>
      </c>
      <c r="AR9" s="123">
        <f t="shared" si="20"/>
        <v>0</v>
      </c>
      <c r="AS9" s="121">
        <f t="shared" si="13"/>
        <v>0</v>
      </c>
      <c r="AT9" s="64"/>
      <c r="AU9" s="64"/>
    </row>
    <row r="10" ht="15.75" customHeight="1">
      <c r="A10" s="24"/>
      <c r="B10" s="24"/>
      <c r="C10" s="24"/>
      <c r="D10" s="10"/>
      <c r="E10" s="120" t="s">
        <v>54</v>
      </c>
      <c r="F10" s="121">
        <v>0.0</v>
      </c>
      <c r="G10" s="121">
        <v>0.0</v>
      </c>
      <c r="H10" s="121">
        <v>0.0</v>
      </c>
      <c r="I10" s="122">
        <f t="shared" si="3"/>
        <v>0</v>
      </c>
      <c r="J10" s="123">
        <v>0.0</v>
      </c>
      <c r="K10" s="123">
        <v>0.0</v>
      </c>
      <c r="L10" s="123">
        <v>0.0</v>
      </c>
      <c r="M10" s="123">
        <f t="shared" si="4"/>
        <v>0</v>
      </c>
      <c r="N10" s="123">
        <v>0.0</v>
      </c>
      <c r="O10" s="123">
        <v>0.0</v>
      </c>
      <c r="P10" s="123">
        <v>0.0</v>
      </c>
      <c r="Q10" s="123">
        <f t="shared" si="5"/>
        <v>0</v>
      </c>
      <c r="R10" s="123">
        <v>0.0</v>
      </c>
      <c r="S10" s="123">
        <v>0.0</v>
      </c>
      <c r="T10" s="123">
        <v>0.0</v>
      </c>
      <c r="U10" s="123">
        <f t="shared" si="6"/>
        <v>0</v>
      </c>
      <c r="V10" s="123">
        <v>0.0</v>
      </c>
      <c r="W10" s="123">
        <v>0.0</v>
      </c>
      <c r="X10" s="123">
        <v>0.0</v>
      </c>
      <c r="Y10" s="123">
        <f t="shared" si="7"/>
        <v>0</v>
      </c>
      <c r="Z10" s="123">
        <v>0.0</v>
      </c>
      <c r="AA10" s="123">
        <v>0.0</v>
      </c>
      <c r="AB10" s="123">
        <v>0.0</v>
      </c>
      <c r="AC10" s="123">
        <f t="shared" si="8"/>
        <v>0</v>
      </c>
      <c r="AD10" s="123">
        <v>0.0</v>
      </c>
      <c r="AE10" s="123">
        <v>0.0</v>
      </c>
      <c r="AF10" s="123">
        <v>0.0</v>
      </c>
      <c r="AG10" s="123">
        <f t="shared" si="9"/>
        <v>0</v>
      </c>
      <c r="AH10" s="123">
        <v>0.0</v>
      </c>
      <c r="AI10" s="123">
        <v>0.0</v>
      </c>
      <c r="AJ10" s="123">
        <v>0.0</v>
      </c>
      <c r="AK10" s="123">
        <f t="shared" si="10"/>
        <v>0</v>
      </c>
      <c r="AL10" s="123">
        <v>0.0</v>
      </c>
      <c r="AM10" s="123">
        <v>0.0</v>
      </c>
      <c r="AN10" s="123">
        <v>0.0</v>
      </c>
      <c r="AO10" s="123">
        <f t="shared" si="11"/>
        <v>0</v>
      </c>
      <c r="AP10" s="123">
        <f t="shared" ref="AP10:AR10" si="21">AL10+AH10+AD10+Z10+V10+R10+N10+J10</f>
        <v>0</v>
      </c>
      <c r="AQ10" s="123">
        <f t="shared" si="21"/>
        <v>0</v>
      </c>
      <c r="AR10" s="123">
        <f t="shared" si="21"/>
        <v>0</v>
      </c>
      <c r="AS10" s="121">
        <f t="shared" si="13"/>
        <v>0</v>
      </c>
      <c r="AT10" s="64"/>
      <c r="AU10" s="64"/>
    </row>
    <row r="11" ht="15.75" customHeight="1">
      <c r="A11" s="24"/>
      <c r="B11" s="24"/>
      <c r="C11" s="24"/>
      <c r="D11" s="119" t="s">
        <v>59</v>
      </c>
      <c r="E11" s="120" t="s">
        <v>56</v>
      </c>
      <c r="F11" s="121">
        <f t="shared" ref="F11:H11" si="22">AP11</f>
        <v>0</v>
      </c>
      <c r="G11" s="121">
        <f t="shared" si="22"/>
        <v>0</v>
      </c>
      <c r="H11" s="121">
        <f t="shared" si="22"/>
        <v>0</v>
      </c>
      <c r="I11" s="122">
        <f t="shared" si="3"/>
        <v>0</v>
      </c>
      <c r="J11" s="123">
        <v>0.0</v>
      </c>
      <c r="K11" s="123">
        <v>0.0</v>
      </c>
      <c r="L11" s="123">
        <v>0.0</v>
      </c>
      <c r="M11" s="123">
        <f t="shared" si="4"/>
        <v>0</v>
      </c>
      <c r="N11" s="123">
        <v>0.0</v>
      </c>
      <c r="O11" s="123">
        <v>0.0</v>
      </c>
      <c r="P11" s="123">
        <v>0.0</v>
      </c>
      <c r="Q11" s="123">
        <f t="shared" si="5"/>
        <v>0</v>
      </c>
      <c r="R11" s="123">
        <v>0.0</v>
      </c>
      <c r="S11" s="123">
        <v>0.0</v>
      </c>
      <c r="T11" s="123">
        <v>0.0</v>
      </c>
      <c r="U11" s="123">
        <f t="shared" si="6"/>
        <v>0</v>
      </c>
      <c r="V11" s="123">
        <v>0.0</v>
      </c>
      <c r="W11" s="123">
        <v>0.0</v>
      </c>
      <c r="X11" s="123">
        <v>0.0</v>
      </c>
      <c r="Y11" s="123">
        <f t="shared" si="7"/>
        <v>0</v>
      </c>
      <c r="Z11" s="123">
        <v>0.0</v>
      </c>
      <c r="AA11" s="123">
        <v>0.0</v>
      </c>
      <c r="AB11" s="123">
        <v>0.0</v>
      </c>
      <c r="AC11" s="123">
        <f t="shared" si="8"/>
        <v>0</v>
      </c>
      <c r="AD11" s="123">
        <v>0.0</v>
      </c>
      <c r="AE11" s="123">
        <v>0.0</v>
      </c>
      <c r="AF11" s="123">
        <v>0.0</v>
      </c>
      <c r="AG11" s="123">
        <f t="shared" si="9"/>
        <v>0</v>
      </c>
      <c r="AH11" s="123">
        <v>0.0</v>
      </c>
      <c r="AI11" s="123">
        <v>0.0</v>
      </c>
      <c r="AJ11" s="123">
        <v>0.0</v>
      </c>
      <c r="AK11" s="123">
        <f t="shared" si="10"/>
        <v>0</v>
      </c>
      <c r="AL11" s="123">
        <v>0.0</v>
      </c>
      <c r="AM11" s="123">
        <v>0.0</v>
      </c>
      <c r="AN11" s="123">
        <v>0.0</v>
      </c>
      <c r="AO11" s="123">
        <f t="shared" si="11"/>
        <v>0</v>
      </c>
      <c r="AP11" s="123">
        <f t="shared" ref="AP11:AR11" si="23">AL11+AH11+AD11+Z11+V11+R11+N11+J11</f>
        <v>0</v>
      </c>
      <c r="AQ11" s="123">
        <f t="shared" si="23"/>
        <v>0</v>
      </c>
      <c r="AR11" s="123">
        <f t="shared" si="23"/>
        <v>0</v>
      </c>
      <c r="AS11" s="121">
        <f t="shared" si="13"/>
        <v>0</v>
      </c>
      <c r="AT11" s="64"/>
      <c r="AU11" s="64"/>
    </row>
    <row r="12" ht="15.75" customHeight="1">
      <c r="A12" s="10"/>
      <c r="B12" s="10"/>
      <c r="C12" s="10"/>
      <c r="D12" s="10"/>
      <c r="E12" s="120" t="s">
        <v>54</v>
      </c>
      <c r="F12" s="121">
        <v>0.0</v>
      </c>
      <c r="G12" s="121">
        <v>0.0</v>
      </c>
      <c r="H12" s="121">
        <v>0.0</v>
      </c>
      <c r="I12" s="122">
        <f t="shared" si="3"/>
        <v>0</v>
      </c>
      <c r="J12" s="123">
        <v>0.0</v>
      </c>
      <c r="K12" s="123">
        <v>0.0</v>
      </c>
      <c r="L12" s="123">
        <v>0.0</v>
      </c>
      <c r="M12" s="123">
        <f t="shared" si="4"/>
        <v>0</v>
      </c>
      <c r="N12" s="123">
        <v>0.0</v>
      </c>
      <c r="O12" s="123">
        <v>0.0</v>
      </c>
      <c r="P12" s="123">
        <v>0.0</v>
      </c>
      <c r="Q12" s="123">
        <f t="shared" si="5"/>
        <v>0</v>
      </c>
      <c r="R12" s="123">
        <v>0.0</v>
      </c>
      <c r="S12" s="123">
        <v>0.0</v>
      </c>
      <c r="T12" s="123">
        <v>0.0</v>
      </c>
      <c r="U12" s="123">
        <f t="shared" si="6"/>
        <v>0</v>
      </c>
      <c r="V12" s="123">
        <v>0.0</v>
      </c>
      <c r="W12" s="123">
        <v>0.0</v>
      </c>
      <c r="X12" s="123">
        <v>0.0</v>
      </c>
      <c r="Y12" s="123">
        <f t="shared" si="7"/>
        <v>0</v>
      </c>
      <c r="Z12" s="123">
        <v>0.0</v>
      </c>
      <c r="AA12" s="123">
        <v>0.0</v>
      </c>
      <c r="AB12" s="123">
        <v>0.0</v>
      </c>
      <c r="AC12" s="123">
        <f t="shared" si="8"/>
        <v>0</v>
      </c>
      <c r="AD12" s="123">
        <v>0.0</v>
      </c>
      <c r="AE12" s="123">
        <v>0.0</v>
      </c>
      <c r="AF12" s="123">
        <v>0.0</v>
      </c>
      <c r="AG12" s="123">
        <f t="shared" si="9"/>
        <v>0</v>
      </c>
      <c r="AH12" s="123">
        <v>0.0</v>
      </c>
      <c r="AI12" s="123">
        <v>0.0</v>
      </c>
      <c r="AJ12" s="123">
        <v>0.0</v>
      </c>
      <c r="AK12" s="123">
        <f t="shared" si="10"/>
        <v>0</v>
      </c>
      <c r="AL12" s="123">
        <v>0.0</v>
      </c>
      <c r="AM12" s="123">
        <v>0.0</v>
      </c>
      <c r="AN12" s="123">
        <v>0.0</v>
      </c>
      <c r="AO12" s="123">
        <f t="shared" si="11"/>
        <v>0</v>
      </c>
      <c r="AP12" s="123">
        <f t="shared" ref="AP12:AR12" si="24">AL12+AH12+AD12+Z12+V12+R12+N12+J12</f>
        <v>0</v>
      </c>
      <c r="AQ12" s="123">
        <f t="shared" si="24"/>
        <v>0</v>
      </c>
      <c r="AR12" s="123">
        <f t="shared" si="24"/>
        <v>0</v>
      </c>
      <c r="AS12" s="121">
        <f t="shared" si="13"/>
        <v>0</v>
      </c>
      <c r="AT12" s="64"/>
      <c r="AU12" s="64"/>
    </row>
    <row r="13" ht="15.75" customHeight="1">
      <c r="A13" s="124"/>
      <c r="B13" s="125"/>
      <c r="C13" s="125"/>
      <c r="D13" s="126"/>
      <c r="E13" s="127" t="s">
        <v>21</v>
      </c>
      <c r="F13" s="128">
        <f t="shared" ref="F13:H13" si="25">SUM(F3:F12)</f>
        <v>32</v>
      </c>
      <c r="G13" s="128">
        <f t="shared" si="25"/>
        <v>47</v>
      </c>
      <c r="H13" s="128">
        <f t="shared" si="25"/>
        <v>0</v>
      </c>
      <c r="I13" s="129">
        <f>AS13</f>
        <v>79</v>
      </c>
      <c r="J13" s="130">
        <v>0.0</v>
      </c>
      <c r="K13" s="130">
        <v>0.0</v>
      </c>
      <c r="L13" s="130">
        <v>0.0</v>
      </c>
      <c r="M13" s="130">
        <f t="shared" ref="M13:AR13" si="26">SUM(M3:M12)</f>
        <v>0</v>
      </c>
      <c r="N13" s="130">
        <f t="shared" si="26"/>
        <v>31</v>
      </c>
      <c r="O13" s="130">
        <f t="shared" si="26"/>
        <v>36</v>
      </c>
      <c r="P13" s="130">
        <f t="shared" si="26"/>
        <v>0</v>
      </c>
      <c r="Q13" s="130">
        <f t="shared" si="26"/>
        <v>67</v>
      </c>
      <c r="R13" s="130">
        <f t="shared" si="26"/>
        <v>0</v>
      </c>
      <c r="S13" s="130">
        <f t="shared" si="26"/>
        <v>0</v>
      </c>
      <c r="T13" s="130">
        <f t="shared" si="26"/>
        <v>0</v>
      </c>
      <c r="U13" s="130">
        <f t="shared" si="26"/>
        <v>0</v>
      </c>
      <c r="V13" s="130">
        <f t="shared" si="26"/>
        <v>1</v>
      </c>
      <c r="W13" s="130">
        <f t="shared" si="26"/>
        <v>11</v>
      </c>
      <c r="X13" s="130">
        <f t="shared" si="26"/>
        <v>0</v>
      </c>
      <c r="Y13" s="130">
        <f t="shared" si="26"/>
        <v>12</v>
      </c>
      <c r="Z13" s="130">
        <f t="shared" si="26"/>
        <v>0</v>
      </c>
      <c r="AA13" s="130">
        <f t="shared" si="26"/>
        <v>0</v>
      </c>
      <c r="AB13" s="130">
        <f t="shared" si="26"/>
        <v>0</v>
      </c>
      <c r="AC13" s="130">
        <f t="shared" si="26"/>
        <v>0</v>
      </c>
      <c r="AD13" s="130">
        <f t="shared" si="26"/>
        <v>0</v>
      </c>
      <c r="AE13" s="130">
        <f t="shared" si="26"/>
        <v>0</v>
      </c>
      <c r="AF13" s="130">
        <f t="shared" si="26"/>
        <v>0</v>
      </c>
      <c r="AG13" s="130">
        <f t="shared" si="26"/>
        <v>0</v>
      </c>
      <c r="AH13" s="130">
        <f t="shared" si="26"/>
        <v>0</v>
      </c>
      <c r="AI13" s="130">
        <f t="shared" si="26"/>
        <v>0</v>
      </c>
      <c r="AJ13" s="130">
        <f t="shared" si="26"/>
        <v>0</v>
      </c>
      <c r="AK13" s="130">
        <f t="shared" si="26"/>
        <v>0</v>
      </c>
      <c r="AL13" s="130">
        <f t="shared" si="26"/>
        <v>0</v>
      </c>
      <c r="AM13" s="130">
        <f t="shared" si="26"/>
        <v>0</v>
      </c>
      <c r="AN13" s="130">
        <f t="shared" si="26"/>
        <v>0</v>
      </c>
      <c r="AO13" s="130">
        <f t="shared" si="26"/>
        <v>0</v>
      </c>
      <c r="AP13" s="130">
        <f t="shared" si="26"/>
        <v>32</v>
      </c>
      <c r="AQ13" s="130">
        <f t="shared" si="26"/>
        <v>47</v>
      </c>
      <c r="AR13" s="130">
        <f t="shared" si="26"/>
        <v>0</v>
      </c>
      <c r="AS13" s="130">
        <f t="shared" si="13"/>
        <v>79</v>
      </c>
      <c r="AT13" s="64"/>
      <c r="AU13" s="64"/>
    </row>
    <row r="14" ht="15.75" customHeight="1">
      <c r="A14" s="109"/>
      <c r="B14" s="110"/>
      <c r="C14" s="110"/>
      <c r="D14" s="116"/>
      <c r="E14" s="111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</row>
    <row r="15" ht="15.75" customHeight="1">
      <c r="A15" s="55">
        <v>2.0</v>
      </c>
      <c r="B15" s="117" t="s">
        <v>41</v>
      </c>
      <c r="C15" s="131" t="s">
        <v>42</v>
      </c>
      <c r="D15" s="132" t="s">
        <v>60</v>
      </c>
      <c r="E15" s="120" t="s">
        <v>56</v>
      </c>
      <c r="F15" s="120">
        <v>0.0</v>
      </c>
      <c r="G15" s="120">
        <v>0.0</v>
      </c>
      <c r="H15" s="120">
        <v>0.0</v>
      </c>
      <c r="I15" s="120">
        <v>0.0</v>
      </c>
      <c r="J15" s="120">
        <v>0.0</v>
      </c>
      <c r="K15" s="120">
        <v>0.0</v>
      </c>
      <c r="L15" s="120">
        <v>0.0</v>
      </c>
      <c r="M15" s="120">
        <v>0.0</v>
      </c>
      <c r="N15" s="120">
        <v>0.0</v>
      </c>
      <c r="O15" s="120">
        <v>0.0</v>
      </c>
      <c r="P15" s="120">
        <v>0.0</v>
      </c>
      <c r="Q15" s="120">
        <v>0.0</v>
      </c>
      <c r="R15" s="120">
        <v>0.0</v>
      </c>
      <c r="S15" s="120">
        <v>0.0</v>
      </c>
      <c r="T15" s="120">
        <v>0.0</v>
      </c>
      <c r="U15" s="120">
        <v>0.0</v>
      </c>
      <c r="V15" s="120">
        <v>0.0</v>
      </c>
      <c r="W15" s="120">
        <v>0.0</v>
      </c>
      <c r="X15" s="120">
        <v>0.0</v>
      </c>
      <c r="Y15" s="120">
        <v>0.0</v>
      </c>
      <c r="Z15" s="120">
        <v>0.0</v>
      </c>
      <c r="AA15" s="120">
        <v>0.0</v>
      </c>
      <c r="AB15" s="120">
        <v>0.0</v>
      </c>
      <c r="AC15" s="120">
        <v>0.0</v>
      </c>
      <c r="AD15" s="120">
        <v>0.0</v>
      </c>
      <c r="AE15" s="120">
        <v>0.0</v>
      </c>
      <c r="AF15" s="120">
        <v>0.0</v>
      </c>
      <c r="AG15" s="120">
        <v>0.0</v>
      </c>
      <c r="AH15" s="120">
        <v>0.0</v>
      </c>
      <c r="AI15" s="120">
        <v>0.0</v>
      </c>
      <c r="AJ15" s="120">
        <v>0.0</v>
      </c>
      <c r="AK15" s="120">
        <v>0.0</v>
      </c>
      <c r="AL15" s="120">
        <v>0.0</v>
      </c>
      <c r="AM15" s="120">
        <v>0.0</v>
      </c>
      <c r="AN15" s="120">
        <v>0.0</v>
      </c>
      <c r="AO15" s="120">
        <v>0.0</v>
      </c>
      <c r="AP15" s="120">
        <v>0.0</v>
      </c>
      <c r="AQ15" s="120">
        <v>0.0</v>
      </c>
      <c r="AR15" s="120">
        <v>0.0</v>
      </c>
      <c r="AS15" s="120">
        <v>0.0</v>
      </c>
      <c r="AT15" s="116"/>
      <c r="AU15" s="116"/>
    </row>
    <row r="16" ht="15.75" customHeight="1">
      <c r="A16" s="24"/>
      <c r="B16" s="24"/>
      <c r="C16" s="24"/>
      <c r="D16" s="10"/>
      <c r="E16" s="120" t="s">
        <v>54</v>
      </c>
      <c r="F16" s="120">
        <v>0.0</v>
      </c>
      <c r="G16" s="120">
        <v>0.0</v>
      </c>
      <c r="H16" s="120">
        <v>0.0</v>
      </c>
      <c r="I16" s="120">
        <v>0.0</v>
      </c>
      <c r="J16" s="120">
        <v>0.0</v>
      </c>
      <c r="K16" s="120">
        <v>0.0</v>
      </c>
      <c r="L16" s="120">
        <v>0.0</v>
      </c>
      <c r="M16" s="120">
        <v>0.0</v>
      </c>
      <c r="N16" s="120">
        <v>0.0</v>
      </c>
      <c r="O16" s="120">
        <v>0.0</v>
      </c>
      <c r="P16" s="120">
        <v>0.0</v>
      </c>
      <c r="Q16" s="120">
        <v>0.0</v>
      </c>
      <c r="R16" s="120">
        <v>0.0</v>
      </c>
      <c r="S16" s="120">
        <v>0.0</v>
      </c>
      <c r="T16" s="120">
        <v>0.0</v>
      </c>
      <c r="U16" s="120">
        <v>0.0</v>
      </c>
      <c r="V16" s="120">
        <v>0.0</v>
      </c>
      <c r="W16" s="120">
        <v>0.0</v>
      </c>
      <c r="X16" s="120">
        <v>0.0</v>
      </c>
      <c r="Y16" s="120">
        <v>0.0</v>
      </c>
      <c r="Z16" s="120">
        <v>0.0</v>
      </c>
      <c r="AA16" s="120">
        <v>0.0</v>
      </c>
      <c r="AB16" s="120">
        <v>0.0</v>
      </c>
      <c r="AC16" s="120">
        <v>0.0</v>
      </c>
      <c r="AD16" s="120">
        <v>0.0</v>
      </c>
      <c r="AE16" s="120">
        <v>0.0</v>
      </c>
      <c r="AF16" s="120">
        <v>0.0</v>
      </c>
      <c r="AG16" s="120">
        <v>0.0</v>
      </c>
      <c r="AH16" s="120">
        <v>0.0</v>
      </c>
      <c r="AI16" s="120">
        <v>0.0</v>
      </c>
      <c r="AJ16" s="120">
        <v>0.0</v>
      </c>
      <c r="AK16" s="120">
        <v>0.0</v>
      </c>
      <c r="AL16" s="120">
        <v>0.0</v>
      </c>
      <c r="AM16" s="120">
        <v>0.0</v>
      </c>
      <c r="AN16" s="120">
        <v>0.0</v>
      </c>
      <c r="AO16" s="120">
        <v>0.0</v>
      </c>
      <c r="AP16" s="120">
        <v>0.0</v>
      </c>
      <c r="AQ16" s="120">
        <v>0.0</v>
      </c>
      <c r="AR16" s="120">
        <v>0.0</v>
      </c>
      <c r="AS16" s="120">
        <v>0.0</v>
      </c>
      <c r="AT16" s="116"/>
      <c r="AU16" s="116"/>
    </row>
    <row r="17" ht="15.75" customHeight="1">
      <c r="A17" s="24"/>
      <c r="B17" s="24"/>
      <c r="C17" s="24"/>
      <c r="D17" s="133" t="s">
        <v>61</v>
      </c>
      <c r="E17" s="120" t="s">
        <v>56</v>
      </c>
      <c r="F17" s="120">
        <v>0.0</v>
      </c>
      <c r="G17" s="120">
        <v>0.0</v>
      </c>
      <c r="H17" s="120">
        <v>0.0</v>
      </c>
      <c r="I17" s="120">
        <v>0.0</v>
      </c>
      <c r="J17" s="120">
        <v>0.0</v>
      </c>
      <c r="K17" s="120">
        <v>0.0</v>
      </c>
      <c r="L17" s="120">
        <v>0.0</v>
      </c>
      <c r="M17" s="120">
        <v>0.0</v>
      </c>
      <c r="N17" s="120">
        <v>0.0</v>
      </c>
      <c r="O17" s="120">
        <v>0.0</v>
      </c>
      <c r="P17" s="120">
        <v>0.0</v>
      </c>
      <c r="Q17" s="120">
        <v>0.0</v>
      </c>
      <c r="R17" s="120">
        <v>0.0</v>
      </c>
      <c r="S17" s="120">
        <v>0.0</v>
      </c>
      <c r="T17" s="120">
        <v>0.0</v>
      </c>
      <c r="U17" s="120">
        <v>0.0</v>
      </c>
      <c r="V17" s="120">
        <v>0.0</v>
      </c>
      <c r="W17" s="120">
        <v>0.0</v>
      </c>
      <c r="X17" s="120">
        <v>0.0</v>
      </c>
      <c r="Y17" s="120">
        <v>0.0</v>
      </c>
      <c r="Z17" s="120">
        <v>0.0</v>
      </c>
      <c r="AA17" s="120">
        <v>0.0</v>
      </c>
      <c r="AB17" s="120">
        <v>0.0</v>
      </c>
      <c r="AC17" s="120">
        <v>0.0</v>
      </c>
      <c r="AD17" s="120">
        <v>0.0</v>
      </c>
      <c r="AE17" s="120">
        <v>0.0</v>
      </c>
      <c r="AF17" s="120">
        <v>0.0</v>
      </c>
      <c r="AG17" s="120">
        <v>0.0</v>
      </c>
      <c r="AH17" s="120">
        <v>0.0</v>
      </c>
      <c r="AI17" s="120">
        <v>0.0</v>
      </c>
      <c r="AJ17" s="120">
        <v>0.0</v>
      </c>
      <c r="AK17" s="120">
        <v>0.0</v>
      </c>
      <c r="AL17" s="120">
        <v>0.0</v>
      </c>
      <c r="AM17" s="120">
        <v>0.0</v>
      </c>
      <c r="AN17" s="120">
        <v>0.0</v>
      </c>
      <c r="AO17" s="120">
        <v>0.0</v>
      </c>
      <c r="AP17" s="120">
        <v>0.0</v>
      </c>
      <c r="AQ17" s="120">
        <v>0.0</v>
      </c>
      <c r="AR17" s="120">
        <v>0.0</v>
      </c>
      <c r="AS17" s="120">
        <v>0.0</v>
      </c>
      <c r="AT17" s="64"/>
      <c r="AU17" s="64"/>
    </row>
    <row r="18" ht="15.75" customHeight="1">
      <c r="A18" s="24"/>
      <c r="B18" s="24"/>
      <c r="C18" s="24"/>
      <c r="D18" s="10"/>
      <c r="E18" s="120" t="s">
        <v>54</v>
      </c>
      <c r="F18" s="120">
        <v>0.0</v>
      </c>
      <c r="G18" s="120">
        <v>0.0</v>
      </c>
      <c r="H18" s="120">
        <v>0.0</v>
      </c>
      <c r="I18" s="120">
        <v>0.0</v>
      </c>
      <c r="J18" s="120">
        <v>0.0</v>
      </c>
      <c r="K18" s="120">
        <v>0.0</v>
      </c>
      <c r="L18" s="120">
        <v>0.0</v>
      </c>
      <c r="M18" s="120">
        <v>0.0</v>
      </c>
      <c r="N18" s="120">
        <v>0.0</v>
      </c>
      <c r="O18" s="120">
        <v>0.0</v>
      </c>
      <c r="P18" s="120">
        <v>0.0</v>
      </c>
      <c r="Q18" s="120">
        <v>0.0</v>
      </c>
      <c r="R18" s="120">
        <v>0.0</v>
      </c>
      <c r="S18" s="120">
        <v>0.0</v>
      </c>
      <c r="T18" s="120">
        <v>0.0</v>
      </c>
      <c r="U18" s="120">
        <v>0.0</v>
      </c>
      <c r="V18" s="120">
        <v>0.0</v>
      </c>
      <c r="W18" s="120">
        <v>0.0</v>
      </c>
      <c r="X18" s="120">
        <v>0.0</v>
      </c>
      <c r="Y18" s="120">
        <v>0.0</v>
      </c>
      <c r="Z18" s="120">
        <v>0.0</v>
      </c>
      <c r="AA18" s="120">
        <v>0.0</v>
      </c>
      <c r="AB18" s="120">
        <v>0.0</v>
      </c>
      <c r="AC18" s="120">
        <v>0.0</v>
      </c>
      <c r="AD18" s="120">
        <v>0.0</v>
      </c>
      <c r="AE18" s="120">
        <v>0.0</v>
      </c>
      <c r="AF18" s="120">
        <v>0.0</v>
      </c>
      <c r="AG18" s="120">
        <v>0.0</v>
      </c>
      <c r="AH18" s="120">
        <v>0.0</v>
      </c>
      <c r="AI18" s="120">
        <v>0.0</v>
      </c>
      <c r="AJ18" s="120">
        <v>0.0</v>
      </c>
      <c r="AK18" s="120">
        <v>0.0</v>
      </c>
      <c r="AL18" s="120">
        <v>0.0</v>
      </c>
      <c r="AM18" s="120">
        <v>0.0</v>
      </c>
      <c r="AN18" s="120">
        <v>0.0</v>
      </c>
      <c r="AO18" s="120">
        <v>0.0</v>
      </c>
      <c r="AP18" s="120">
        <v>0.0</v>
      </c>
      <c r="AQ18" s="120">
        <v>0.0</v>
      </c>
      <c r="AR18" s="120">
        <v>0.0</v>
      </c>
      <c r="AS18" s="120">
        <v>0.0</v>
      </c>
      <c r="AT18" s="64"/>
      <c r="AU18" s="64"/>
    </row>
    <row r="19" ht="15.75" customHeight="1">
      <c r="A19" s="24"/>
      <c r="B19" s="24"/>
      <c r="C19" s="24"/>
      <c r="D19" s="133" t="s">
        <v>62</v>
      </c>
      <c r="E19" s="120" t="s">
        <v>56</v>
      </c>
      <c r="F19" s="120">
        <v>0.0</v>
      </c>
      <c r="G19" s="120">
        <v>0.0</v>
      </c>
      <c r="H19" s="120">
        <v>0.0</v>
      </c>
      <c r="I19" s="120">
        <v>0.0</v>
      </c>
      <c r="J19" s="120">
        <v>0.0</v>
      </c>
      <c r="K19" s="120">
        <v>0.0</v>
      </c>
      <c r="L19" s="120">
        <v>0.0</v>
      </c>
      <c r="M19" s="120">
        <v>0.0</v>
      </c>
      <c r="N19" s="120">
        <v>0.0</v>
      </c>
      <c r="O19" s="120">
        <v>0.0</v>
      </c>
      <c r="P19" s="120">
        <v>0.0</v>
      </c>
      <c r="Q19" s="120">
        <v>0.0</v>
      </c>
      <c r="R19" s="120">
        <v>0.0</v>
      </c>
      <c r="S19" s="120">
        <v>0.0</v>
      </c>
      <c r="T19" s="120">
        <v>0.0</v>
      </c>
      <c r="U19" s="120">
        <v>0.0</v>
      </c>
      <c r="V19" s="120">
        <v>0.0</v>
      </c>
      <c r="W19" s="120">
        <v>0.0</v>
      </c>
      <c r="X19" s="120">
        <v>0.0</v>
      </c>
      <c r="Y19" s="120">
        <v>0.0</v>
      </c>
      <c r="Z19" s="120">
        <v>0.0</v>
      </c>
      <c r="AA19" s="120">
        <v>0.0</v>
      </c>
      <c r="AB19" s="120">
        <v>0.0</v>
      </c>
      <c r="AC19" s="120">
        <v>0.0</v>
      </c>
      <c r="AD19" s="120">
        <v>0.0</v>
      </c>
      <c r="AE19" s="120">
        <v>0.0</v>
      </c>
      <c r="AF19" s="120">
        <v>0.0</v>
      </c>
      <c r="AG19" s="120">
        <v>0.0</v>
      </c>
      <c r="AH19" s="120">
        <v>0.0</v>
      </c>
      <c r="AI19" s="120">
        <v>0.0</v>
      </c>
      <c r="AJ19" s="120">
        <v>0.0</v>
      </c>
      <c r="AK19" s="120">
        <v>0.0</v>
      </c>
      <c r="AL19" s="120">
        <v>0.0</v>
      </c>
      <c r="AM19" s="120">
        <v>0.0</v>
      </c>
      <c r="AN19" s="120">
        <v>0.0</v>
      </c>
      <c r="AO19" s="120">
        <v>0.0</v>
      </c>
      <c r="AP19" s="120">
        <v>0.0</v>
      </c>
      <c r="AQ19" s="120">
        <v>0.0</v>
      </c>
      <c r="AR19" s="120">
        <v>0.0</v>
      </c>
      <c r="AS19" s="120">
        <v>0.0</v>
      </c>
      <c r="AT19" s="64"/>
      <c r="AU19" s="64"/>
    </row>
    <row r="20" ht="15.75" customHeight="1">
      <c r="A20" s="24"/>
      <c r="B20" s="24"/>
      <c r="C20" s="24"/>
      <c r="D20" s="10"/>
      <c r="E20" s="120" t="s">
        <v>54</v>
      </c>
      <c r="F20" s="120">
        <v>0.0</v>
      </c>
      <c r="G20" s="120">
        <v>0.0</v>
      </c>
      <c r="H20" s="120">
        <v>0.0</v>
      </c>
      <c r="I20" s="120">
        <v>0.0</v>
      </c>
      <c r="J20" s="120">
        <v>0.0</v>
      </c>
      <c r="K20" s="120">
        <v>0.0</v>
      </c>
      <c r="L20" s="120">
        <v>0.0</v>
      </c>
      <c r="M20" s="120">
        <v>0.0</v>
      </c>
      <c r="N20" s="120">
        <v>0.0</v>
      </c>
      <c r="O20" s="120">
        <v>0.0</v>
      </c>
      <c r="P20" s="120">
        <v>0.0</v>
      </c>
      <c r="Q20" s="120">
        <v>0.0</v>
      </c>
      <c r="R20" s="120">
        <v>0.0</v>
      </c>
      <c r="S20" s="120">
        <v>0.0</v>
      </c>
      <c r="T20" s="120">
        <v>0.0</v>
      </c>
      <c r="U20" s="120">
        <v>0.0</v>
      </c>
      <c r="V20" s="120">
        <v>0.0</v>
      </c>
      <c r="W20" s="120">
        <v>0.0</v>
      </c>
      <c r="X20" s="120">
        <v>0.0</v>
      </c>
      <c r="Y20" s="120">
        <v>0.0</v>
      </c>
      <c r="Z20" s="120">
        <v>0.0</v>
      </c>
      <c r="AA20" s="120">
        <v>0.0</v>
      </c>
      <c r="AB20" s="120">
        <v>0.0</v>
      </c>
      <c r="AC20" s="120">
        <v>0.0</v>
      </c>
      <c r="AD20" s="120">
        <v>0.0</v>
      </c>
      <c r="AE20" s="120">
        <v>0.0</v>
      </c>
      <c r="AF20" s="120">
        <v>0.0</v>
      </c>
      <c r="AG20" s="120">
        <v>0.0</v>
      </c>
      <c r="AH20" s="120">
        <v>0.0</v>
      </c>
      <c r="AI20" s="120">
        <v>0.0</v>
      </c>
      <c r="AJ20" s="120">
        <v>0.0</v>
      </c>
      <c r="AK20" s="120">
        <v>0.0</v>
      </c>
      <c r="AL20" s="120">
        <v>0.0</v>
      </c>
      <c r="AM20" s="120">
        <v>0.0</v>
      </c>
      <c r="AN20" s="120">
        <v>0.0</v>
      </c>
      <c r="AO20" s="120">
        <v>0.0</v>
      </c>
      <c r="AP20" s="120">
        <v>0.0</v>
      </c>
      <c r="AQ20" s="120">
        <v>0.0</v>
      </c>
      <c r="AR20" s="120">
        <v>0.0</v>
      </c>
      <c r="AS20" s="120">
        <v>0.0</v>
      </c>
      <c r="AT20" s="64"/>
      <c r="AU20" s="64"/>
    </row>
    <row r="21" ht="15.75" customHeight="1">
      <c r="A21" s="24"/>
      <c r="B21" s="24"/>
      <c r="C21" s="24"/>
      <c r="D21" s="133" t="s">
        <v>63</v>
      </c>
      <c r="E21" s="120" t="s">
        <v>56</v>
      </c>
      <c r="F21" s="120">
        <v>0.0</v>
      </c>
      <c r="G21" s="120">
        <v>0.0</v>
      </c>
      <c r="H21" s="120">
        <v>0.0</v>
      </c>
      <c r="I21" s="120">
        <v>0.0</v>
      </c>
      <c r="J21" s="120">
        <v>0.0</v>
      </c>
      <c r="K21" s="120">
        <v>0.0</v>
      </c>
      <c r="L21" s="120">
        <v>0.0</v>
      </c>
      <c r="M21" s="120">
        <v>0.0</v>
      </c>
      <c r="N21" s="120">
        <v>0.0</v>
      </c>
      <c r="O21" s="120">
        <v>0.0</v>
      </c>
      <c r="P21" s="120">
        <v>0.0</v>
      </c>
      <c r="Q21" s="120">
        <v>0.0</v>
      </c>
      <c r="R21" s="120">
        <v>0.0</v>
      </c>
      <c r="S21" s="120">
        <v>0.0</v>
      </c>
      <c r="T21" s="120">
        <v>0.0</v>
      </c>
      <c r="U21" s="120">
        <v>0.0</v>
      </c>
      <c r="V21" s="120">
        <v>0.0</v>
      </c>
      <c r="W21" s="120">
        <v>0.0</v>
      </c>
      <c r="X21" s="120">
        <v>0.0</v>
      </c>
      <c r="Y21" s="120">
        <v>0.0</v>
      </c>
      <c r="Z21" s="120">
        <v>0.0</v>
      </c>
      <c r="AA21" s="120">
        <v>0.0</v>
      </c>
      <c r="AB21" s="120">
        <v>0.0</v>
      </c>
      <c r="AC21" s="120">
        <v>0.0</v>
      </c>
      <c r="AD21" s="120">
        <v>0.0</v>
      </c>
      <c r="AE21" s="120">
        <v>0.0</v>
      </c>
      <c r="AF21" s="120">
        <v>0.0</v>
      </c>
      <c r="AG21" s="120">
        <v>0.0</v>
      </c>
      <c r="AH21" s="120">
        <v>0.0</v>
      </c>
      <c r="AI21" s="120">
        <v>0.0</v>
      </c>
      <c r="AJ21" s="120">
        <v>0.0</v>
      </c>
      <c r="AK21" s="120">
        <v>0.0</v>
      </c>
      <c r="AL21" s="120">
        <v>0.0</v>
      </c>
      <c r="AM21" s="120">
        <v>0.0</v>
      </c>
      <c r="AN21" s="120">
        <v>0.0</v>
      </c>
      <c r="AO21" s="120">
        <v>0.0</v>
      </c>
      <c r="AP21" s="120">
        <v>0.0</v>
      </c>
      <c r="AQ21" s="120">
        <v>0.0</v>
      </c>
      <c r="AR21" s="120">
        <v>0.0</v>
      </c>
      <c r="AS21" s="120">
        <v>0.0</v>
      </c>
      <c r="AT21" s="64"/>
      <c r="AU21" s="64"/>
    </row>
    <row r="22" ht="15.75" customHeight="1">
      <c r="A22" s="24"/>
      <c r="B22" s="24"/>
      <c r="C22" s="24"/>
      <c r="D22" s="10"/>
      <c r="E22" s="120" t="s">
        <v>54</v>
      </c>
      <c r="F22" s="120">
        <v>0.0</v>
      </c>
      <c r="G22" s="120">
        <v>0.0</v>
      </c>
      <c r="H22" s="120">
        <v>0.0</v>
      </c>
      <c r="I22" s="120">
        <v>0.0</v>
      </c>
      <c r="J22" s="120">
        <v>0.0</v>
      </c>
      <c r="K22" s="120">
        <v>0.0</v>
      </c>
      <c r="L22" s="120">
        <v>0.0</v>
      </c>
      <c r="M22" s="120">
        <v>0.0</v>
      </c>
      <c r="N22" s="120">
        <v>0.0</v>
      </c>
      <c r="O22" s="120">
        <v>0.0</v>
      </c>
      <c r="P22" s="120">
        <v>0.0</v>
      </c>
      <c r="Q22" s="120">
        <v>0.0</v>
      </c>
      <c r="R22" s="120">
        <v>0.0</v>
      </c>
      <c r="S22" s="120">
        <v>0.0</v>
      </c>
      <c r="T22" s="120">
        <v>0.0</v>
      </c>
      <c r="U22" s="120">
        <v>0.0</v>
      </c>
      <c r="V22" s="120">
        <v>0.0</v>
      </c>
      <c r="W22" s="120">
        <v>0.0</v>
      </c>
      <c r="X22" s="120">
        <v>0.0</v>
      </c>
      <c r="Y22" s="120">
        <v>0.0</v>
      </c>
      <c r="Z22" s="120">
        <v>0.0</v>
      </c>
      <c r="AA22" s="120">
        <v>0.0</v>
      </c>
      <c r="AB22" s="120">
        <v>0.0</v>
      </c>
      <c r="AC22" s="120">
        <v>0.0</v>
      </c>
      <c r="AD22" s="120">
        <v>0.0</v>
      </c>
      <c r="AE22" s="120">
        <v>0.0</v>
      </c>
      <c r="AF22" s="120">
        <v>0.0</v>
      </c>
      <c r="AG22" s="120">
        <v>0.0</v>
      </c>
      <c r="AH22" s="120">
        <v>0.0</v>
      </c>
      <c r="AI22" s="120">
        <v>0.0</v>
      </c>
      <c r="AJ22" s="120">
        <v>0.0</v>
      </c>
      <c r="AK22" s="120">
        <v>0.0</v>
      </c>
      <c r="AL22" s="120">
        <v>0.0</v>
      </c>
      <c r="AM22" s="120">
        <v>0.0</v>
      </c>
      <c r="AN22" s="120">
        <v>0.0</v>
      </c>
      <c r="AO22" s="120">
        <v>0.0</v>
      </c>
      <c r="AP22" s="120">
        <v>0.0</v>
      </c>
      <c r="AQ22" s="120">
        <v>0.0</v>
      </c>
      <c r="AR22" s="120">
        <v>0.0</v>
      </c>
      <c r="AS22" s="120">
        <v>0.0</v>
      </c>
      <c r="AT22" s="64"/>
      <c r="AU22" s="64"/>
    </row>
    <row r="23" ht="15.75" customHeight="1">
      <c r="A23" s="24"/>
      <c r="B23" s="24"/>
      <c r="C23" s="24"/>
      <c r="D23" s="133" t="s">
        <v>64</v>
      </c>
      <c r="E23" s="120" t="s">
        <v>56</v>
      </c>
      <c r="F23" s="120">
        <v>0.0</v>
      </c>
      <c r="G23" s="120">
        <v>0.0</v>
      </c>
      <c r="H23" s="120">
        <v>0.0</v>
      </c>
      <c r="I23" s="120">
        <v>0.0</v>
      </c>
      <c r="J23" s="120">
        <v>0.0</v>
      </c>
      <c r="K23" s="120">
        <v>0.0</v>
      </c>
      <c r="L23" s="120">
        <v>0.0</v>
      </c>
      <c r="M23" s="120">
        <v>0.0</v>
      </c>
      <c r="N23" s="120">
        <v>0.0</v>
      </c>
      <c r="O23" s="120">
        <v>0.0</v>
      </c>
      <c r="P23" s="120">
        <v>0.0</v>
      </c>
      <c r="Q23" s="120">
        <v>0.0</v>
      </c>
      <c r="R23" s="120">
        <v>0.0</v>
      </c>
      <c r="S23" s="120">
        <v>0.0</v>
      </c>
      <c r="T23" s="120">
        <v>0.0</v>
      </c>
      <c r="U23" s="120">
        <v>0.0</v>
      </c>
      <c r="V23" s="120">
        <v>0.0</v>
      </c>
      <c r="W23" s="120">
        <v>0.0</v>
      </c>
      <c r="X23" s="120">
        <v>0.0</v>
      </c>
      <c r="Y23" s="120">
        <v>0.0</v>
      </c>
      <c r="Z23" s="120">
        <v>0.0</v>
      </c>
      <c r="AA23" s="120">
        <v>0.0</v>
      </c>
      <c r="AB23" s="120">
        <v>0.0</v>
      </c>
      <c r="AC23" s="120">
        <v>0.0</v>
      </c>
      <c r="AD23" s="120">
        <v>0.0</v>
      </c>
      <c r="AE23" s="120">
        <v>0.0</v>
      </c>
      <c r="AF23" s="120">
        <v>0.0</v>
      </c>
      <c r="AG23" s="120">
        <v>0.0</v>
      </c>
      <c r="AH23" s="120">
        <v>0.0</v>
      </c>
      <c r="AI23" s="120">
        <v>0.0</v>
      </c>
      <c r="AJ23" s="120">
        <v>0.0</v>
      </c>
      <c r="AK23" s="120">
        <v>0.0</v>
      </c>
      <c r="AL23" s="120">
        <v>0.0</v>
      </c>
      <c r="AM23" s="120">
        <v>0.0</v>
      </c>
      <c r="AN23" s="120">
        <v>0.0</v>
      </c>
      <c r="AO23" s="120">
        <v>0.0</v>
      </c>
      <c r="AP23" s="120">
        <v>0.0</v>
      </c>
      <c r="AQ23" s="120">
        <v>0.0</v>
      </c>
      <c r="AR23" s="120">
        <v>0.0</v>
      </c>
      <c r="AS23" s="120">
        <v>0.0</v>
      </c>
      <c r="AT23" s="64"/>
      <c r="AU23" s="64"/>
    </row>
    <row r="24" ht="15.75" customHeight="1">
      <c r="A24" s="10"/>
      <c r="B24" s="10"/>
      <c r="C24" s="10"/>
      <c r="D24" s="10"/>
      <c r="E24" s="120" t="s">
        <v>54</v>
      </c>
      <c r="F24" s="120">
        <v>0.0</v>
      </c>
      <c r="G24" s="120">
        <v>0.0</v>
      </c>
      <c r="H24" s="120">
        <v>0.0</v>
      </c>
      <c r="I24" s="120">
        <v>0.0</v>
      </c>
      <c r="J24" s="120">
        <v>0.0</v>
      </c>
      <c r="K24" s="120">
        <v>0.0</v>
      </c>
      <c r="L24" s="120">
        <v>0.0</v>
      </c>
      <c r="M24" s="120">
        <v>0.0</v>
      </c>
      <c r="N24" s="120">
        <v>0.0</v>
      </c>
      <c r="O24" s="120">
        <v>0.0</v>
      </c>
      <c r="P24" s="120">
        <v>0.0</v>
      </c>
      <c r="Q24" s="120">
        <v>0.0</v>
      </c>
      <c r="R24" s="120">
        <v>0.0</v>
      </c>
      <c r="S24" s="120">
        <v>0.0</v>
      </c>
      <c r="T24" s="120">
        <v>0.0</v>
      </c>
      <c r="U24" s="120">
        <v>0.0</v>
      </c>
      <c r="V24" s="120">
        <v>0.0</v>
      </c>
      <c r="W24" s="120">
        <v>0.0</v>
      </c>
      <c r="X24" s="120">
        <v>0.0</v>
      </c>
      <c r="Y24" s="120">
        <v>0.0</v>
      </c>
      <c r="Z24" s="120">
        <v>0.0</v>
      </c>
      <c r="AA24" s="120">
        <v>0.0</v>
      </c>
      <c r="AB24" s="120">
        <v>0.0</v>
      </c>
      <c r="AC24" s="120">
        <v>0.0</v>
      </c>
      <c r="AD24" s="120">
        <v>0.0</v>
      </c>
      <c r="AE24" s="120">
        <v>0.0</v>
      </c>
      <c r="AF24" s="120">
        <v>0.0</v>
      </c>
      <c r="AG24" s="120">
        <v>0.0</v>
      </c>
      <c r="AH24" s="120">
        <v>0.0</v>
      </c>
      <c r="AI24" s="120">
        <v>0.0</v>
      </c>
      <c r="AJ24" s="120">
        <v>0.0</v>
      </c>
      <c r="AK24" s="120">
        <v>0.0</v>
      </c>
      <c r="AL24" s="120">
        <v>0.0</v>
      </c>
      <c r="AM24" s="120">
        <v>0.0</v>
      </c>
      <c r="AN24" s="120">
        <v>0.0</v>
      </c>
      <c r="AO24" s="120">
        <v>0.0</v>
      </c>
      <c r="AP24" s="120">
        <v>0.0</v>
      </c>
      <c r="AQ24" s="120">
        <v>0.0</v>
      </c>
      <c r="AR24" s="120">
        <v>0.0</v>
      </c>
      <c r="AS24" s="120">
        <v>0.0</v>
      </c>
      <c r="AT24" s="64"/>
      <c r="AU24" s="64"/>
    </row>
    <row r="25" ht="15.75" customHeight="1">
      <c r="A25" s="127"/>
      <c r="B25" s="134"/>
      <c r="C25" s="134"/>
      <c r="D25" s="135"/>
      <c r="E25" s="127" t="s">
        <v>21</v>
      </c>
      <c r="F25" s="136">
        <v>0.0</v>
      </c>
      <c r="G25" s="136">
        <v>0.0</v>
      </c>
      <c r="H25" s="136">
        <v>0.0</v>
      </c>
      <c r="I25" s="136">
        <v>0.0</v>
      </c>
      <c r="J25" s="136">
        <v>0.0</v>
      </c>
      <c r="K25" s="136">
        <v>0.0</v>
      </c>
      <c r="L25" s="136">
        <v>0.0</v>
      </c>
      <c r="M25" s="136">
        <v>0.0</v>
      </c>
      <c r="N25" s="136">
        <v>0.0</v>
      </c>
      <c r="O25" s="136">
        <v>0.0</v>
      </c>
      <c r="P25" s="136">
        <v>0.0</v>
      </c>
      <c r="Q25" s="136">
        <v>0.0</v>
      </c>
      <c r="R25" s="136">
        <v>0.0</v>
      </c>
      <c r="S25" s="136">
        <v>0.0</v>
      </c>
      <c r="T25" s="136">
        <v>0.0</v>
      </c>
      <c r="U25" s="136">
        <v>0.0</v>
      </c>
      <c r="V25" s="136">
        <v>0.0</v>
      </c>
      <c r="W25" s="136">
        <v>0.0</v>
      </c>
      <c r="X25" s="136">
        <v>0.0</v>
      </c>
      <c r="Y25" s="136">
        <v>0.0</v>
      </c>
      <c r="Z25" s="136">
        <v>0.0</v>
      </c>
      <c r="AA25" s="136">
        <v>0.0</v>
      </c>
      <c r="AB25" s="136">
        <v>0.0</v>
      </c>
      <c r="AC25" s="136">
        <v>0.0</v>
      </c>
      <c r="AD25" s="136">
        <v>0.0</v>
      </c>
      <c r="AE25" s="136">
        <v>0.0</v>
      </c>
      <c r="AF25" s="136">
        <v>0.0</v>
      </c>
      <c r="AG25" s="136">
        <v>0.0</v>
      </c>
      <c r="AH25" s="136">
        <v>0.0</v>
      </c>
      <c r="AI25" s="136">
        <v>0.0</v>
      </c>
      <c r="AJ25" s="136">
        <v>0.0</v>
      </c>
      <c r="AK25" s="136">
        <v>0.0</v>
      </c>
      <c r="AL25" s="136">
        <v>0.0</v>
      </c>
      <c r="AM25" s="136">
        <v>0.0</v>
      </c>
      <c r="AN25" s="136">
        <v>0.0</v>
      </c>
      <c r="AO25" s="136">
        <v>0.0</v>
      </c>
      <c r="AP25" s="136">
        <v>0.0</v>
      </c>
      <c r="AQ25" s="136">
        <v>0.0</v>
      </c>
      <c r="AR25" s="136">
        <v>0.0</v>
      </c>
      <c r="AS25" s="136">
        <v>0.0</v>
      </c>
      <c r="AT25" s="64"/>
      <c r="AU25" s="64"/>
    </row>
    <row r="26" ht="15.75" customHeight="1">
      <c r="A26" s="137"/>
      <c r="B26" s="138"/>
      <c r="C26" s="138"/>
      <c r="D26" s="139"/>
      <c r="E26" s="137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1"/>
      <c r="AU26" s="141"/>
    </row>
    <row r="27" ht="15.75" customHeight="1">
      <c r="A27" s="142">
        <v>3.0</v>
      </c>
      <c r="B27" s="143" t="s">
        <v>43</v>
      </c>
      <c r="C27" s="144" t="s">
        <v>44</v>
      </c>
      <c r="D27" s="145" t="s">
        <v>65</v>
      </c>
      <c r="E27" s="146" t="s">
        <v>56</v>
      </c>
      <c r="F27" s="146">
        <v>0.0</v>
      </c>
      <c r="G27" s="146">
        <v>0.0</v>
      </c>
      <c r="H27" s="146">
        <v>0.0</v>
      </c>
      <c r="I27" s="146">
        <v>0.0</v>
      </c>
      <c r="J27" s="146">
        <v>0.0</v>
      </c>
      <c r="K27" s="146">
        <v>0.0</v>
      </c>
      <c r="L27" s="146">
        <v>0.0</v>
      </c>
      <c r="M27" s="146">
        <v>0.0</v>
      </c>
      <c r="N27" s="146">
        <v>0.0</v>
      </c>
      <c r="O27" s="146">
        <v>0.0</v>
      </c>
      <c r="P27" s="146">
        <v>0.0</v>
      </c>
      <c r="Q27" s="146">
        <v>0.0</v>
      </c>
      <c r="R27" s="146">
        <v>0.0</v>
      </c>
      <c r="S27" s="146">
        <v>0.0</v>
      </c>
      <c r="T27" s="146">
        <v>0.0</v>
      </c>
      <c r="U27" s="146">
        <v>0.0</v>
      </c>
      <c r="V27" s="146">
        <v>0.0</v>
      </c>
      <c r="W27" s="146">
        <v>0.0</v>
      </c>
      <c r="X27" s="146">
        <v>0.0</v>
      </c>
      <c r="Y27" s="146">
        <v>0.0</v>
      </c>
      <c r="Z27" s="146">
        <v>0.0</v>
      </c>
      <c r="AA27" s="146">
        <v>0.0</v>
      </c>
      <c r="AB27" s="146">
        <v>0.0</v>
      </c>
      <c r="AC27" s="146">
        <v>0.0</v>
      </c>
      <c r="AD27" s="146">
        <v>0.0</v>
      </c>
      <c r="AE27" s="146">
        <v>0.0</v>
      </c>
      <c r="AF27" s="146">
        <v>0.0</v>
      </c>
      <c r="AG27" s="146">
        <v>0.0</v>
      </c>
      <c r="AH27" s="146">
        <v>0.0</v>
      </c>
      <c r="AI27" s="146">
        <v>0.0</v>
      </c>
      <c r="AJ27" s="146">
        <v>0.0</v>
      </c>
      <c r="AK27" s="146">
        <v>0.0</v>
      </c>
      <c r="AL27" s="146">
        <v>0.0</v>
      </c>
      <c r="AM27" s="146">
        <v>0.0</v>
      </c>
      <c r="AN27" s="146">
        <v>0.0</v>
      </c>
      <c r="AO27" s="146">
        <v>0.0</v>
      </c>
      <c r="AP27" s="146">
        <v>0.0</v>
      </c>
      <c r="AQ27" s="146">
        <v>0.0</v>
      </c>
      <c r="AR27" s="146">
        <v>0.0</v>
      </c>
      <c r="AS27" s="146">
        <v>0.0</v>
      </c>
      <c r="AT27" s="64"/>
      <c r="AU27" s="64"/>
    </row>
    <row r="28" ht="15.75" customHeight="1">
      <c r="A28" s="24"/>
      <c r="B28" s="24"/>
      <c r="C28" s="24"/>
      <c r="D28" s="10"/>
      <c r="E28" s="120" t="s">
        <v>54</v>
      </c>
      <c r="F28" s="120">
        <v>0.0</v>
      </c>
      <c r="G28" s="120">
        <v>0.0</v>
      </c>
      <c r="H28" s="120">
        <v>0.0</v>
      </c>
      <c r="I28" s="120">
        <v>0.0</v>
      </c>
      <c r="J28" s="120">
        <v>0.0</v>
      </c>
      <c r="K28" s="120">
        <v>0.0</v>
      </c>
      <c r="L28" s="120">
        <v>0.0</v>
      </c>
      <c r="M28" s="120">
        <v>0.0</v>
      </c>
      <c r="N28" s="120">
        <v>0.0</v>
      </c>
      <c r="O28" s="120">
        <v>0.0</v>
      </c>
      <c r="P28" s="120">
        <v>0.0</v>
      </c>
      <c r="Q28" s="120">
        <v>0.0</v>
      </c>
      <c r="R28" s="120">
        <v>0.0</v>
      </c>
      <c r="S28" s="120">
        <v>0.0</v>
      </c>
      <c r="T28" s="120">
        <v>0.0</v>
      </c>
      <c r="U28" s="120">
        <v>0.0</v>
      </c>
      <c r="V28" s="120">
        <v>0.0</v>
      </c>
      <c r="W28" s="120">
        <v>0.0</v>
      </c>
      <c r="X28" s="120">
        <v>0.0</v>
      </c>
      <c r="Y28" s="120">
        <v>0.0</v>
      </c>
      <c r="Z28" s="120">
        <v>0.0</v>
      </c>
      <c r="AA28" s="120">
        <v>0.0</v>
      </c>
      <c r="AB28" s="120">
        <v>0.0</v>
      </c>
      <c r="AC28" s="120">
        <v>0.0</v>
      </c>
      <c r="AD28" s="120">
        <v>0.0</v>
      </c>
      <c r="AE28" s="120">
        <v>0.0</v>
      </c>
      <c r="AF28" s="120">
        <v>0.0</v>
      </c>
      <c r="AG28" s="120">
        <v>0.0</v>
      </c>
      <c r="AH28" s="120">
        <v>0.0</v>
      </c>
      <c r="AI28" s="120">
        <v>0.0</v>
      </c>
      <c r="AJ28" s="120">
        <v>0.0</v>
      </c>
      <c r="AK28" s="120">
        <v>0.0</v>
      </c>
      <c r="AL28" s="120">
        <v>0.0</v>
      </c>
      <c r="AM28" s="120">
        <v>0.0</v>
      </c>
      <c r="AN28" s="120">
        <v>0.0</v>
      </c>
      <c r="AO28" s="120">
        <v>0.0</v>
      </c>
      <c r="AP28" s="120">
        <v>0.0</v>
      </c>
      <c r="AQ28" s="120">
        <v>0.0</v>
      </c>
      <c r="AR28" s="120">
        <v>0.0</v>
      </c>
      <c r="AS28" s="120">
        <v>0.0</v>
      </c>
      <c r="AT28" s="64"/>
      <c r="AU28" s="64"/>
    </row>
    <row r="29" ht="15.75" customHeight="1">
      <c r="A29" s="24"/>
      <c r="B29" s="24"/>
      <c r="C29" s="24"/>
      <c r="D29" s="119" t="s">
        <v>66</v>
      </c>
      <c r="E29" s="120" t="s">
        <v>56</v>
      </c>
      <c r="F29" s="120">
        <v>0.0</v>
      </c>
      <c r="G29" s="120">
        <v>0.0</v>
      </c>
      <c r="H29" s="120">
        <v>0.0</v>
      </c>
      <c r="I29" s="120">
        <v>0.0</v>
      </c>
      <c r="J29" s="120">
        <v>0.0</v>
      </c>
      <c r="K29" s="120">
        <v>0.0</v>
      </c>
      <c r="L29" s="120">
        <v>0.0</v>
      </c>
      <c r="M29" s="120">
        <v>0.0</v>
      </c>
      <c r="N29" s="120">
        <v>0.0</v>
      </c>
      <c r="O29" s="120">
        <v>0.0</v>
      </c>
      <c r="P29" s="120">
        <v>0.0</v>
      </c>
      <c r="Q29" s="120">
        <v>0.0</v>
      </c>
      <c r="R29" s="120">
        <v>0.0</v>
      </c>
      <c r="S29" s="120">
        <v>0.0</v>
      </c>
      <c r="T29" s="120">
        <v>0.0</v>
      </c>
      <c r="U29" s="120">
        <v>0.0</v>
      </c>
      <c r="V29" s="120">
        <v>0.0</v>
      </c>
      <c r="W29" s="120">
        <v>0.0</v>
      </c>
      <c r="X29" s="120">
        <v>0.0</v>
      </c>
      <c r="Y29" s="120">
        <v>0.0</v>
      </c>
      <c r="Z29" s="120">
        <v>0.0</v>
      </c>
      <c r="AA29" s="120">
        <v>0.0</v>
      </c>
      <c r="AB29" s="120">
        <v>0.0</v>
      </c>
      <c r="AC29" s="120">
        <v>0.0</v>
      </c>
      <c r="AD29" s="120">
        <v>0.0</v>
      </c>
      <c r="AE29" s="120">
        <v>0.0</v>
      </c>
      <c r="AF29" s="120">
        <v>0.0</v>
      </c>
      <c r="AG29" s="120">
        <v>0.0</v>
      </c>
      <c r="AH29" s="120">
        <v>0.0</v>
      </c>
      <c r="AI29" s="120">
        <v>0.0</v>
      </c>
      <c r="AJ29" s="120">
        <v>0.0</v>
      </c>
      <c r="AK29" s="120">
        <v>0.0</v>
      </c>
      <c r="AL29" s="120">
        <v>0.0</v>
      </c>
      <c r="AM29" s="120">
        <v>0.0</v>
      </c>
      <c r="AN29" s="120">
        <v>0.0</v>
      </c>
      <c r="AO29" s="120">
        <v>0.0</v>
      </c>
      <c r="AP29" s="120">
        <v>0.0</v>
      </c>
      <c r="AQ29" s="120">
        <v>0.0</v>
      </c>
      <c r="AR29" s="120">
        <v>0.0</v>
      </c>
      <c r="AS29" s="120">
        <v>0.0</v>
      </c>
      <c r="AT29" s="64"/>
      <c r="AU29" s="64"/>
    </row>
    <row r="30" ht="15.75" customHeight="1">
      <c r="A30" s="24"/>
      <c r="B30" s="24"/>
      <c r="C30" s="24"/>
      <c r="D30" s="10"/>
      <c r="E30" s="120" t="s">
        <v>54</v>
      </c>
      <c r="F30" s="120">
        <v>0.0</v>
      </c>
      <c r="G30" s="120">
        <v>0.0</v>
      </c>
      <c r="H30" s="120">
        <v>0.0</v>
      </c>
      <c r="I30" s="120">
        <v>0.0</v>
      </c>
      <c r="J30" s="120">
        <v>0.0</v>
      </c>
      <c r="K30" s="120">
        <v>0.0</v>
      </c>
      <c r="L30" s="120">
        <v>0.0</v>
      </c>
      <c r="M30" s="120">
        <v>0.0</v>
      </c>
      <c r="N30" s="120">
        <v>0.0</v>
      </c>
      <c r="O30" s="120">
        <v>0.0</v>
      </c>
      <c r="P30" s="120">
        <v>0.0</v>
      </c>
      <c r="Q30" s="120">
        <v>0.0</v>
      </c>
      <c r="R30" s="120">
        <v>0.0</v>
      </c>
      <c r="S30" s="120">
        <v>0.0</v>
      </c>
      <c r="T30" s="120">
        <v>0.0</v>
      </c>
      <c r="U30" s="120">
        <v>0.0</v>
      </c>
      <c r="V30" s="120">
        <v>0.0</v>
      </c>
      <c r="W30" s="120">
        <v>0.0</v>
      </c>
      <c r="X30" s="120">
        <v>0.0</v>
      </c>
      <c r="Y30" s="120">
        <v>0.0</v>
      </c>
      <c r="Z30" s="120">
        <v>0.0</v>
      </c>
      <c r="AA30" s="120">
        <v>0.0</v>
      </c>
      <c r="AB30" s="120">
        <v>0.0</v>
      </c>
      <c r="AC30" s="120">
        <v>0.0</v>
      </c>
      <c r="AD30" s="120">
        <v>0.0</v>
      </c>
      <c r="AE30" s="120">
        <v>0.0</v>
      </c>
      <c r="AF30" s="120">
        <v>0.0</v>
      </c>
      <c r="AG30" s="120">
        <v>0.0</v>
      </c>
      <c r="AH30" s="120">
        <v>0.0</v>
      </c>
      <c r="AI30" s="120">
        <v>0.0</v>
      </c>
      <c r="AJ30" s="120">
        <v>0.0</v>
      </c>
      <c r="AK30" s="120">
        <v>0.0</v>
      </c>
      <c r="AL30" s="120">
        <v>0.0</v>
      </c>
      <c r="AM30" s="120">
        <v>0.0</v>
      </c>
      <c r="AN30" s="120">
        <v>0.0</v>
      </c>
      <c r="AO30" s="120">
        <v>0.0</v>
      </c>
      <c r="AP30" s="120">
        <v>0.0</v>
      </c>
      <c r="AQ30" s="120">
        <v>0.0</v>
      </c>
      <c r="AR30" s="120">
        <v>0.0</v>
      </c>
      <c r="AS30" s="120">
        <v>0.0</v>
      </c>
      <c r="AT30" s="64"/>
      <c r="AU30" s="64"/>
    </row>
    <row r="31" ht="15.75" customHeight="1">
      <c r="A31" s="24"/>
      <c r="B31" s="24"/>
      <c r="C31" s="24"/>
      <c r="D31" s="133" t="s">
        <v>67</v>
      </c>
      <c r="E31" s="120" t="s">
        <v>56</v>
      </c>
      <c r="F31" s="120">
        <v>0.0</v>
      </c>
      <c r="G31" s="120">
        <v>0.0</v>
      </c>
      <c r="H31" s="120">
        <v>0.0</v>
      </c>
      <c r="I31" s="120">
        <v>0.0</v>
      </c>
      <c r="J31" s="120">
        <v>0.0</v>
      </c>
      <c r="K31" s="120">
        <v>0.0</v>
      </c>
      <c r="L31" s="120">
        <v>0.0</v>
      </c>
      <c r="M31" s="120">
        <v>0.0</v>
      </c>
      <c r="N31" s="120">
        <v>0.0</v>
      </c>
      <c r="O31" s="120">
        <v>0.0</v>
      </c>
      <c r="P31" s="120">
        <v>0.0</v>
      </c>
      <c r="Q31" s="120">
        <v>0.0</v>
      </c>
      <c r="R31" s="120">
        <v>0.0</v>
      </c>
      <c r="S31" s="120">
        <v>0.0</v>
      </c>
      <c r="T31" s="120">
        <v>0.0</v>
      </c>
      <c r="U31" s="120">
        <v>0.0</v>
      </c>
      <c r="V31" s="120">
        <v>0.0</v>
      </c>
      <c r="W31" s="120">
        <v>0.0</v>
      </c>
      <c r="X31" s="120">
        <v>0.0</v>
      </c>
      <c r="Y31" s="120">
        <v>0.0</v>
      </c>
      <c r="Z31" s="120">
        <v>0.0</v>
      </c>
      <c r="AA31" s="120">
        <v>0.0</v>
      </c>
      <c r="AB31" s="120">
        <v>0.0</v>
      </c>
      <c r="AC31" s="120">
        <v>0.0</v>
      </c>
      <c r="AD31" s="120">
        <v>0.0</v>
      </c>
      <c r="AE31" s="120">
        <v>0.0</v>
      </c>
      <c r="AF31" s="120">
        <v>0.0</v>
      </c>
      <c r="AG31" s="120">
        <v>0.0</v>
      </c>
      <c r="AH31" s="120">
        <v>0.0</v>
      </c>
      <c r="AI31" s="120">
        <v>0.0</v>
      </c>
      <c r="AJ31" s="120">
        <v>0.0</v>
      </c>
      <c r="AK31" s="120">
        <v>0.0</v>
      </c>
      <c r="AL31" s="120">
        <v>0.0</v>
      </c>
      <c r="AM31" s="120">
        <v>0.0</v>
      </c>
      <c r="AN31" s="120">
        <v>0.0</v>
      </c>
      <c r="AO31" s="120">
        <v>0.0</v>
      </c>
      <c r="AP31" s="120">
        <v>0.0</v>
      </c>
      <c r="AQ31" s="120">
        <v>0.0</v>
      </c>
      <c r="AR31" s="120">
        <v>0.0</v>
      </c>
      <c r="AS31" s="120">
        <v>0.0</v>
      </c>
      <c r="AT31" s="64"/>
      <c r="AU31" s="64"/>
    </row>
    <row r="32" ht="15.75" customHeight="1">
      <c r="A32" s="24"/>
      <c r="B32" s="24"/>
      <c r="C32" s="24"/>
      <c r="D32" s="10"/>
      <c r="E32" s="120" t="s">
        <v>54</v>
      </c>
      <c r="F32" s="120">
        <v>0.0</v>
      </c>
      <c r="G32" s="120">
        <v>0.0</v>
      </c>
      <c r="H32" s="120">
        <v>0.0</v>
      </c>
      <c r="I32" s="120">
        <v>0.0</v>
      </c>
      <c r="J32" s="120">
        <v>0.0</v>
      </c>
      <c r="K32" s="120">
        <v>0.0</v>
      </c>
      <c r="L32" s="120">
        <v>0.0</v>
      </c>
      <c r="M32" s="120">
        <v>0.0</v>
      </c>
      <c r="N32" s="120">
        <v>0.0</v>
      </c>
      <c r="O32" s="120">
        <v>0.0</v>
      </c>
      <c r="P32" s="120">
        <v>0.0</v>
      </c>
      <c r="Q32" s="120">
        <v>0.0</v>
      </c>
      <c r="R32" s="120">
        <v>0.0</v>
      </c>
      <c r="S32" s="120">
        <v>0.0</v>
      </c>
      <c r="T32" s="120">
        <v>0.0</v>
      </c>
      <c r="U32" s="120">
        <v>0.0</v>
      </c>
      <c r="V32" s="120">
        <v>0.0</v>
      </c>
      <c r="W32" s="120">
        <v>0.0</v>
      </c>
      <c r="X32" s="120">
        <v>0.0</v>
      </c>
      <c r="Y32" s="120">
        <v>0.0</v>
      </c>
      <c r="Z32" s="120">
        <v>0.0</v>
      </c>
      <c r="AA32" s="120">
        <v>0.0</v>
      </c>
      <c r="AB32" s="120">
        <v>0.0</v>
      </c>
      <c r="AC32" s="120">
        <v>0.0</v>
      </c>
      <c r="AD32" s="120">
        <v>0.0</v>
      </c>
      <c r="AE32" s="120">
        <v>0.0</v>
      </c>
      <c r="AF32" s="120">
        <v>0.0</v>
      </c>
      <c r="AG32" s="120">
        <v>0.0</v>
      </c>
      <c r="AH32" s="120">
        <v>0.0</v>
      </c>
      <c r="AI32" s="120">
        <v>0.0</v>
      </c>
      <c r="AJ32" s="120">
        <v>0.0</v>
      </c>
      <c r="AK32" s="120">
        <v>0.0</v>
      </c>
      <c r="AL32" s="120">
        <v>0.0</v>
      </c>
      <c r="AM32" s="120">
        <v>0.0</v>
      </c>
      <c r="AN32" s="120">
        <v>0.0</v>
      </c>
      <c r="AO32" s="120">
        <v>0.0</v>
      </c>
      <c r="AP32" s="120">
        <v>0.0</v>
      </c>
      <c r="AQ32" s="120">
        <v>0.0</v>
      </c>
      <c r="AR32" s="120">
        <v>0.0</v>
      </c>
      <c r="AS32" s="120">
        <v>0.0</v>
      </c>
      <c r="AT32" s="64"/>
      <c r="AU32" s="64"/>
    </row>
    <row r="33" ht="15.75" customHeight="1">
      <c r="A33" s="24"/>
      <c r="B33" s="24"/>
      <c r="C33" s="24"/>
      <c r="D33" s="133" t="s">
        <v>68</v>
      </c>
      <c r="E33" s="120" t="s">
        <v>56</v>
      </c>
      <c r="F33" s="120">
        <v>0.0</v>
      </c>
      <c r="G33" s="120">
        <v>0.0</v>
      </c>
      <c r="H33" s="120">
        <v>0.0</v>
      </c>
      <c r="I33" s="120">
        <v>0.0</v>
      </c>
      <c r="J33" s="120">
        <v>0.0</v>
      </c>
      <c r="K33" s="120">
        <v>0.0</v>
      </c>
      <c r="L33" s="120">
        <v>0.0</v>
      </c>
      <c r="M33" s="120">
        <v>0.0</v>
      </c>
      <c r="N33" s="120">
        <v>0.0</v>
      </c>
      <c r="O33" s="120">
        <v>0.0</v>
      </c>
      <c r="P33" s="120">
        <v>0.0</v>
      </c>
      <c r="Q33" s="120">
        <v>0.0</v>
      </c>
      <c r="R33" s="120">
        <v>0.0</v>
      </c>
      <c r="S33" s="120">
        <v>0.0</v>
      </c>
      <c r="T33" s="120">
        <v>0.0</v>
      </c>
      <c r="U33" s="120">
        <v>0.0</v>
      </c>
      <c r="V33" s="120">
        <v>0.0</v>
      </c>
      <c r="W33" s="120">
        <v>0.0</v>
      </c>
      <c r="X33" s="120">
        <v>0.0</v>
      </c>
      <c r="Y33" s="120">
        <v>0.0</v>
      </c>
      <c r="Z33" s="120">
        <v>0.0</v>
      </c>
      <c r="AA33" s="120">
        <v>0.0</v>
      </c>
      <c r="AB33" s="120">
        <v>0.0</v>
      </c>
      <c r="AC33" s="120">
        <v>0.0</v>
      </c>
      <c r="AD33" s="120">
        <v>0.0</v>
      </c>
      <c r="AE33" s="120">
        <v>0.0</v>
      </c>
      <c r="AF33" s="120">
        <v>0.0</v>
      </c>
      <c r="AG33" s="120">
        <v>0.0</v>
      </c>
      <c r="AH33" s="120">
        <v>0.0</v>
      </c>
      <c r="AI33" s="120">
        <v>0.0</v>
      </c>
      <c r="AJ33" s="120">
        <v>0.0</v>
      </c>
      <c r="AK33" s="120">
        <v>0.0</v>
      </c>
      <c r="AL33" s="120">
        <v>0.0</v>
      </c>
      <c r="AM33" s="120">
        <v>0.0</v>
      </c>
      <c r="AN33" s="120">
        <v>0.0</v>
      </c>
      <c r="AO33" s="120">
        <v>0.0</v>
      </c>
      <c r="AP33" s="120">
        <v>0.0</v>
      </c>
      <c r="AQ33" s="120">
        <v>0.0</v>
      </c>
      <c r="AR33" s="120">
        <v>0.0</v>
      </c>
      <c r="AS33" s="120">
        <v>0.0</v>
      </c>
      <c r="AT33" s="64"/>
      <c r="AU33" s="64"/>
    </row>
    <row r="34" ht="15.75" customHeight="1">
      <c r="A34" s="24"/>
      <c r="B34" s="24"/>
      <c r="C34" s="24"/>
      <c r="D34" s="10"/>
      <c r="E34" s="120" t="s">
        <v>54</v>
      </c>
      <c r="F34" s="120">
        <v>0.0</v>
      </c>
      <c r="G34" s="120">
        <v>0.0</v>
      </c>
      <c r="H34" s="120">
        <v>0.0</v>
      </c>
      <c r="I34" s="120">
        <v>0.0</v>
      </c>
      <c r="J34" s="120">
        <v>0.0</v>
      </c>
      <c r="K34" s="120">
        <v>0.0</v>
      </c>
      <c r="L34" s="120">
        <v>0.0</v>
      </c>
      <c r="M34" s="120">
        <v>0.0</v>
      </c>
      <c r="N34" s="120">
        <v>0.0</v>
      </c>
      <c r="O34" s="120">
        <v>0.0</v>
      </c>
      <c r="P34" s="120">
        <v>0.0</v>
      </c>
      <c r="Q34" s="120">
        <v>0.0</v>
      </c>
      <c r="R34" s="120">
        <v>0.0</v>
      </c>
      <c r="S34" s="120">
        <v>0.0</v>
      </c>
      <c r="T34" s="120">
        <v>0.0</v>
      </c>
      <c r="U34" s="120">
        <v>0.0</v>
      </c>
      <c r="V34" s="120">
        <v>0.0</v>
      </c>
      <c r="W34" s="120">
        <v>0.0</v>
      </c>
      <c r="X34" s="120">
        <v>0.0</v>
      </c>
      <c r="Y34" s="120">
        <v>0.0</v>
      </c>
      <c r="Z34" s="120">
        <v>0.0</v>
      </c>
      <c r="AA34" s="120">
        <v>0.0</v>
      </c>
      <c r="AB34" s="120">
        <v>0.0</v>
      </c>
      <c r="AC34" s="120">
        <v>0.0</v>
      </c>
      <c r="AD34" s="120">
        <v>0.0</v>
      </c>
      <c r="AE34" s="120">
        <v>0.0</v>
      </c>
      <c r="AF34" s="120">
        <v>0.0</v>
      </c>
      <c r="AG34" s="120">
        <v>0.0</v>
      </c>
      <c r="AH34" s="120">
        <v>0.0</v>
      </c>
      <c r="AI34" s="120">
        <v>0.0</v>
      </c>
      <c r="AJ34" s="120">
        <v>0.0</v>
      </c>
      <c r="AK34" s="120">
        <v>0.0</v>
      </c>
      <c r="AL34" s="120">
        <v>0.0</v>
      </c>
      <c r="AM34" s="120">
        <v>0.0</v>
      </c>
      <c r="AN34" s="120">
        <v>0.0</v>
      </c>
      <c r="AO34" s="120">
        <v>0.0</v>
      </c>
      <c r="AP34" s="120">
        <v>0.0</v>
      </c>
      <c r="AQ34" s="120">
        <v>0.0</v>
      </c>
      <c r="AR34" s="120">
        <v>0.0</v>
      </c>
      <c r="AS34" s="120">
        <v>0.0</v>
      </c>
      <c r="AT34" s="64"/>
      <c r="AU34" s="64"/>
    </row>
    <row r="35" ht="15.75" customHeight="1">
      <c r="A35" s="24"/>
      <c r="B35" s="24"/>
      <c r="C35" s="24"/>
      <c r="D35" s="133" t="s">
        <v>69</v>
      </c>
      <c r="E35" s="120" t="s">
        <v>56</v>
      </c>
      <c r="F35" s="120">
        <v>0.0</v>
      </c>
      <c r="G35" s="120">
        <v>0.0</v>
      </c>
      <c r="H35" s="120">
        <v>0.0</v>
      </c>
      <c r="I35" s="120">
        <v>0.0</v>
      </c>
      <c r="J35" s="120">
        <v>0.0</v>
      </c>
      <c r="K35" s="120">
        <v>0.0</v>
      </c>
      <c r="L35" s="120">
        <v>0.0</v>
      </c>
      <c r="M35" s="120">
        <v>0.0</v>
      </c>
      <c r="N35" s="120">
        <v>0.0</v>
      </c>
      <c r="O35" s="120">
        <v>0.0</v>
      </c>
      <c r="P35" s="120">
        <v>0.0</v>
      </c>
      <c r="Q35" s="120">
        <v>0.0</v>
      </c>
      <c r="R35" s="120">
        <v>0.0</v>
      </c>
      <c r="S35" s="120">
        <v>0.0</v>
      </c>
      <c r="T35" s="120">
        <v>0.0</v>
      </c>
      <c r="U35" s="120">
        <v>0.0</v>
      </c>
      <c r="V35" s="120">
        <v>0.0</v>
      </c>
      <c r="W35" s="120">
        <v>0.0</v>
      </c>
      <c r="X35" s="120">
        <v>0.0</v>
      </c>
      <c r="Y35" s="120">
        <v>0.0</v>
      </c>
      <c r="Z35" s="120">
        <v>0.0</v>
      </c>
      <c r="AA35" s="120">
        <v>0.0</v>
      </c>
      <c r="AB35" s="120">
        <v>0.0</v>
      </c>
      <c r="AC35" s="120">
        <v>0.0</v>
      </c>
      <c r="AD35" s="120">
        <v>0.0</v>
      </c>
      <c r="AE35" s="120">
        <v>0.0</v>
      </c>
      <c r="AF35" s="120">
        <v>0.0</v>
      </c>
      <c r="AG35" s="120">
        <v>0.0</v>
      </c>
      <c r="AH35" s="120">
        <v>0.0</v>
      </c>
      <c r="AI35" s="120">
        <v>0.0</v>
      </c>
      <c r="AJ35" s="120">
        <v>0.0</v>
      </c>
      <c r="AK35" s="120">
        <v>0.0</v>
      </c>
      <c r="AL35" s="120">
        <v>0.0</v>
      </c>
      <c r="AM35" s="120">
        <v>0.0</v>
      </c>
      <c r="AN35" s="120">
        <v>0.0</v>
      </c>
      <c r="AO35" s="120">
        <v>0.0</v>
      </c>
      <c r="AP35" s="120">
        <v>0.0</v>
      </c>
      <c r="AQ35" s="120">
        <v>0.0</v>
      </c>
      <c r="AR35" s="120">
        <v>0.0</v>
      </c>
      <c r="AS35" s="120">
        <v>0.0</v>
      </c>
      <c r="AT35" s="64"/>
      <c r="AU35" s="64"/>
    </row>
    <row r="36" ht="15.75" customHeight="1">
      <c r="A36" s="10"/>
      <c r="B36" s="10"/>
      <c r="C36" s="10"/>
      <c r="D36" s="10"/>
      <c r="E36" s="120" t="s">
        <v>54</v>
      </c>
      <c r="F36" s="120">
        <v>0.0</v>
      </c>
      <c r="G36" s="120">
        <v>0.0</v>
      </c>
      <c r="H36" s="120">
        <v>0.0</v>
      </c>
      <c r="I36" s="120">
        <v>0.0</v>
      </c>
      <c r="J36" s="120">
        <v>0.0</v>
      </c>
      <c r="K36" s="120">
        <v>0.0</v>
      </c>
      <c r="L36" s="120">
        <v>0.0</v>
      </c>
      <c r="M36" s="120">
        <v>0.0</v>
      </c>
      <c r="N36" s="120">
        <v>0.0</v>
      </c>
      <c r="O36" s="120">
        <v>0.0</v>
      </c>
      <c r="P36" s="120">
        <v>0.0</v>
      </c>
      <c r="Q36" s="120">
        <v>0.0</v>
      </c>
      <c r="R36" s="120">
        <v>0.0</v>
      </c>
      <c r="S36" s="120">
        <v>0.0</v>
      </c>
      <c r="T36" s="120">
        <v>0.0</v>
      </c>
      <c r="U36" s="120">
        <v>0.0</v>
      </c>
      <c r="V36" s="120">
        <v>0.0</v>
      </c>
      <c r="W36" s="120">
        <v>0.0</v>
      </c>
      <c r="X36" s="120">
        <v>0.0</v>
      </c>
      <c r="Y36" s="120">
        <v>0.0</v>
      </c>
      <c r="Z36" s="120">
        <v>0.0</v>
      </c>
      <c r="AA36" s="120">
        <v>0.0</v>
      </c>
      <c r="AB36" s="120">
        <v>0.0</v>
      </c>
      <c r="AC36" s="120">
        <v>0.0</v>
      </c>
      <c r="AD36" s="120">
        <v>0.0</v>
      </c>
      <c r="AE36" s="120">
        <v>0.0</v>
      </c>
      <c r="AF36" s="120">
        <v>0.0</v>
      </c>
      <c r="AG36" s="120">
        <v>0.0</v>
      </c>
      <c r="AH36" s="120">
        <v>0.0</v>
      </c>
      <c r="AI36" s="120">
        <v>0.0</v>
      </c>
      <c r="AJ36" s="120">
        <v>0.0</v>
      </c>
      <c r="AK36" s="120">
        <v>0.0</v>
      </c>
      <c r="AL36" s="120">
        <v>0.0</v>
      </c>
      <c r="AM36" s="120">
        <v>0.0</v>
      </c>
      <c r="AN36" s="120">
        <v>0.0</v>
      </c>
      <c r="AO36" s="120">
        <v>0.0</v>
      </c>
      <c r="AP36" s="120">
        <v>0.0</v>
      </c>
      <c r="AQ36" s="120">
        <v>0.0</v>
      </c>
      <c r="AR36" s="120">
        <v>0.0</v>
      </c>
      <c r="AS36" s="120">
        <v>0.0</v>
      </c>
      <c r="AT36" s="64"/>
      <c r="AU36" s="64"/>
    </row>
    <row r="37" ht="15.75" customHeight="1">
      <c r="A37" s="124"/>
      <c r="B37" s="125"/>
      <c r="C37" s="125"/>
      <c r="D37" s="147"/>
      <c r="E37" s="124" t="s">
        <v>21</v>
      </c>
      <c r="F37" s="148">
        <v>0.0</v>
      </c>
      <c r="G37" s="148">
        <v>0.0</v>
      </c>
      <c r="H37" s="148">
        <v>0.0</v>
      </c>
      <c r="I37" s="148">
        <v>0.0</v>
      </c>
      <c r="J37" s="148">
        <v>0.0</v>
      </c>
      <c r="K37" s="148">
        <v>0.0</v>
      </c>
      <c r="L37" s="148">
        <v>0.0</v>
      </c>
      <c r="M37" s="148">
        <v>0.0</v>
      </c>
      <c r="N37" s="148">
        <v>0.0</v>
      </c>
      <c r="O37" s="148">
        <v>0.0</v>
      </c>
      <c r="P37" s="148">
        <v>0.0</v>
      </c>
      <c r="Q37" s="148">
        <v>0.0</v>
      </c>
      <c r="R37" s="148">
        <v>0.0</v>
      </c>
      <c r="S37" s="148">
        <v>0.0</v>
      </c>
      <c r="T37" s="148">
        <v>0.0</v>
      </c>
      <c r="U37" s="148">
        <v>0.0</v>
      </c>
      <c r="V37" s="148">
        <v>0.0</v>
      </c>
      <c r="W37" s="148">
        <v>0.0</v>
      </c>
      <c r="X37" s="148">
        <v>0.0</v>
      </c>
      <c r="Y37" s="148">
        <v>0.0</v>
      </c>
      <c r="Z37" s="148">
        <v>0.0</v>
      </c>
      <c r="AA37" s="148">
        <v>0.0</v>
      </c>
      <c r="AB37" s="148">
        <v>0.0</v>
      </c>
      <c r="AC37" s="148">
        <v>0.0</v>
      </c>
      <c r="AD37" s="148">
        <v>0.0</v>
      </c>
      <c r="AE37" s="148">
        <v>0.0</v>
      </c>
      <c r="AF37" s="148">
        <v>0.0</v>
      </c>
      <c r="AG37" s="148">
        <v>0.0</v>
      </c>
      <c r="AH37" s="148">
        <v>0.0</v>
      </c>
      <c r="AI37" s="148">
        <v>0.0</v>
      </c>
      <c r="AJ37" s="148">
        <v>0.0</v>
      </c>
      <c r="AK37" s="148">
        <v>0.0</v>
      </c>
      <c r="AL37" s="148">
        <v>0.0</v>
      </c>
      <c r="AM37" s="148">
        <v>0.0</v>
      </c>
      <c r="AN37" s="148">
        <v>0.0</v>
      </c>
      <c r="AO37" s="148">
        <v>0.0</v>
      </c>
      <c r="AP37" s="148">
        <v>0.0</v>
      </c>
      <c r="AQ37" s="148">
        <v>0.0</v>
      </c>
      <c r="AR37" s="148">
        <v>0.0</v>
      </c>
      <c r="AS37" s="148">
        <v>0.0</v>
      </c>
      <c r="AT37" s="64"/>
      <c r="AU37" s="64"/>
    </row>
    <row r="38" ht="15.75" customHeight="1">
      <c r="A38" s="55">
        <v>4.0</v>
      </c>
      <c r="B38" s="117" t="s">
        <v>45</v>
      </c>
      <c r="C38" s="149" t="s">
        <v>46</v>
      </c>
      <c r="D38" s="133" t="s">
        <v>70</v>
      </c>
      <c r="E38" s="120" t="s">
        <v>56</v>
      </c>
      <c r="F38" s="120">
        <v>0.0</v>
      </c>
      <c r="G38" s="120">
        <v>0.0</v>
      </c>
      <c r="H38" s="120">
        <v>0.0</v>
      </c>
      <c r="I38" s="120">
        <v>0.0</v>
      </c>
      <c r="J38" s="120">
        <v>0.0</v>
      </c>
      <c r="K38" s="120">
        <v>0.0</v>
      </c>
      <c r="L38" s="120">
        <v>0.0</v>
      </c>
      <c r="M38" s="120">
        <v>0.0</v>
      </c>
      <c r="N38" s="120">
        <v>0.0</v>
      </c>
      <c r="O38" s="120">
        <v>0.0</v>
      </c>
      <c r="P38" s="120">
        <v>0.0</v>
      </c>
      <c r="Q38" s="120">
        <v>0.0</v>
      </c>
      <c r="R38" s="120">
        <v>0.0</v>
      </c>
      <c r="S38" s="120">
        <v>0.0</v>
      </c>
      <c r="T38" s="120">
        <v>0.0</v>
      </c>
      <c r="U38" s="120">
        <v>0.0</v>
      </c>
      <c r="V38" s="120">
        <v>0.0</v>
      </c>
      <c r="W38" s="120">
        <v>0.0</v>
      </c>
      <c r="X38" s="120">
        <v>0.0</v>
      </c>
      <c r="Y38" s="120">
        <v>0.0</v>
      </c>
      <c r="Z38" s="120">
        <v>0.0</v>
      </c>
      <c r="AA38" s="120">
        <v>0.0</v>
      </c>
      <c r="AB38" s="120">
        <v>0.0</v>
      </c>
      <c r="AC38" s="120">
        <v>0.0</v>
      </c>
      <c r="AD38" s="120">
        <v>0.0</v>
      </c>
      <c r="AE38" s="120">
        <v>0.0</v>
      </c>
      <c r="AF38" s="120">
        <v>0.0</v>
      </c>
      <c r="AG38" s="120">
        <v>0.0</v>
      </c>
      <c r="AH38" s="120">
        <v>0.0</v>
      </c>
      <c r="AI38" s="120">
        <v>0.0</v>
      </c>
      <c r="AJ38" s="120">
        <v>0.0</v>
      </c>
      <c r="AK38" s="120">
        <v>0.0</v>
      </c>
      <c r="AL38" s="120">
        <v>0.0</v>
      </c>
      <c r="AM38" s="120">
        <v>0.0</v>
      </c>
      <c r="AN38" s="120">
        <v>0.0</v>
      </c>
      <c r="AO38" s="120">
        <v>0.0</v>
      </c>
      <c r="AP38" s="120">
        <v>0.0</v>
      </c>
      <c r="AQ38" s="120">
        <v>0.0</v>
      </c>
      <c r="AR38" s="120">
        <v>0.0</v>
      </c>
      <c r="AS38" s="120">
        <v>0.0</v>
      </c>
      <c r="AT38" s="64"/>
      <c r="AU38" s="64"/>
    </row>
    <row r="39" ht="15.75" customHeight="1">
      <c r="A39" s="24"/>
      <c r="B39" s="24"/>
      <c r="C39" s="24"/>
      <c r="D39" s="10"/>
      <c r="E39" s="120" t="s">
        <v>54</v>
      </c>
      <c r="F39" s="120">
        <v>0.0</v>
      </c>
      <c r="G39" s="120">
        <v>0.0</v>
      </c>
      <c r="H39" s="120">
        <v>0.0</v>
      </c>
      <c r="I39" s="120">
        <v>0.0</v>
      </c>
      <c r="J39" s="120">
        <v>0.0</v>
      </c>
      <c r="K39" s="120">
        <v>0.0</v>
      </c>
      <c r="L39" s="120">
        <v>0.0</v>
      </c>
      <c r="M39" s="120">
        <v>0.0</v>
      </c>
      <c r="N39" s="120">
        <v>0.0</v>
      </c>
      <c r="O39" s="120">
        <v>0.0</v>
      </c>
      <c r="P39" s="120">
        <v>0.0</v>
      </c>
      <c r="Q39" s="120">
        <v>0.0</v>
      </c>
      <c r="R39" s="120">
        <v>0.0</v>
      </c>
      <c r="S39" s="120">
        <v>0.0</v>
      </c>
      <c r="T39" s="120">
        <v>0.0</v>
      </c>
      <c r="U39" s="120">
        <v>0.0</v>
      </c>
      <c r="V39" s="120">
        <v>0.0</v>
      </c>
      <c r="W39" s="120">
        <v>0.0</v>
      </c>
      <c r="X39" s="120">
        <v>0.0</v>
      </c>
      <c r="Y39" s="120">
        <v>0.0</v>
      </c>
      <c r="Z39" s="120">
        <v>0.0</v>
      </c>
      <c r="AA39" s="120">
        <v>0.0</v>
      </c>
      <c r="AB39" s="120">
        <v>0.0</v>
      </c>
      <c r="AC39" s="120">
        <v>0.0</v>
      </c>
      <c r="AD39" s="120">
        <v>0.0</v>
      </c>
      <c r="AE39" s="120">
        <v>0.0</v>
      </c>
      <c r="AF39" s="120">
        <v>0.0</v>
      </c>
      <c r="AG39" s="120">
        <v>0.0</v>
      </c>
      <c r="AH39" s="120">
        <v>0.0</v>
      </c>
      <c r="AI39" s="120">
        <v>0.0</v>
      </c>
      <c r="AJ39" s="120">
        <v>0.0</v>
      </c>
      <c r="AK39" s="120">
        <v>0.0</v>
      </c>
      <c r="AL39" s="120">
        <v>0.0</v>
      </c>
      <c r="AM39" s="120">
        <v>0.0</v>
      </c>
      <c r="AN39" s="120">
        <v>0.0</v>
      </c>
      <c r="AO39" s="120">
        <v>0.0</v>
      </c>
      <c r="AP39" s="120">
        <v>0.0</v>
      </c>
      <c r="AQ39" s="120">
        <v>0.0</v>
      </c>
      <c r="AR39" s="120">
        <v>0.0</v>
      </c>
      <c r="AS39" s="120">
        <v>0.0</v>
      </c>
      <c r="AT39" s="64"/>
      <c r="AU39" s="64"/>
    </row>
    <row r="40" ht="15.75" customHeight="1">
      <c r="A40" s="24"/>
      <c r="B40" s="24"/>
      <c r="C40" s="24"/>
      <c r="D40" s="133" t="s">
        <v>71</v>
      </c>
      <c r="E40" s="120" t="s">
        <v>56</v>
      </c>
      <c r="F40" s="120">
        <v>0.0</v>
      </c>
      <c r="G40" s="120">
        <v>0.0</v>
      </c>
      <c r="H40" s="120">
        <v>0.0</v>
      </c>
      <c r="I40" s="120">
        <v>0.0</v>
      </c>
      <c r="J40" s="120">
        <v>0.0</v>
      </c>
      <c r="K40" s="120">
        <v>0.0</v>
      </c>
      <c r="L40" s="120">
        <v>0.0</v>
      </c>
      <c r="M40" s="120">
        <v>0.0</v>
      </c>
      <c r="N40" s="120">
        <v>0.0</v>
      </c>
      <c r="O40" s="120">
        <v>0.0</v>
      </c>
      <c r="P40" s="120">
        <v>0.0</v>
      </c>
      <c r="Q40" s="120">
        <v>0.0</v>
      </c>
      <c r="R40" s="120">
        <v>0.0</v>
      </c>
      <c r="S40" s="120">
        <v>0.0</v>
      </c>
      <c r="T40" s="120">
        <v>0.0</v>
      </c>
      <c r="U40" s="120">
        <v>0.0</v>
      </c>
      <c r="V40" s="120">
        <v>0.0</v>
      </c>
      <c r="W40" s="120">
        <v>0.0</v>
      </c>
      <c r="X40" s="120">
        <v>0.0</v>
      </c>
      <c r="Y40" s="120">
        <v>0.0</v>
      </c>
      <c r="Z40" s="120">
        <v>0.0</v>
      </c>
      <c r="AA40" s="120">
        <v>0.0</v>
      </c>
      <c r="AB40" s="120">
        <v>0.0</v>
      </c>
      <c r="AC40" s="120">
        <v>0.0</v>
      </c>
      <c r="AD40" s="120">
        <v>0.0</v>
      </c>
      <c r="AE40" s="120">
        <v>0.0</v>
      </c>
      <c r="AF40" s="120">
        <v>0.0</v>
      </c>
      <c r="AG40" s="120">
        <v>0.0</v>
      </c>
      <c r="AH40" s="120">
        <v>0.0</v>
      </c>
      <c r="AI40" s="120">
        <v>0.0</v>
      </c>
      <c r="AJ40" s="120">
        <v>0.0</v>
      </c>
      <c r="AK40" s="120">
        <v>0.0</v>
      </c>
      <c r="AL40" s="120">
        <v>0.0</v>
      </c>
      <c r="AM40" s="120">
        <v>0.0</v>
      </c>
      <c r="AN40" s="120">
        <v>0.0</v>
      </c>
      <c r="AO40" s="120">
        <v>0.0</v>
      </c>
      <c r="AP40" s="120">
        <v>0.0</v>
      </c>
      <c r="AQ40" s="120">
        <v>0.0</v>
      </c>
      <c r="AR40" s="120">
        <v>0.0</v>
      </c>
      <c r="AS40" s="120">
        <v>0.0</v>
      </c>
      <c r="AT40" s="64"/>
      <c r="AU40" s="64"/>
    </row>
    <row r="41" ht="15.75" customHeight="1">
      <c r="A41" s="24"/>
      <c r="B41" s="24"/>
      <c r="C41" s="24"/>
      <c r="D41" s="10"/>
      <c r="E41" s="120" t="s">
        <v>54</v>
      </c>
      <c r="F41" s="120">
        <v>0.0</v>
      </c>
      <c r="G41" s="120">
        <v>0.0</v>
      </c>
      <c r="H41" s="120">
        <v>0.0</v>
      </c>
      <c r="I41" s="120">
        <v>0.0</v>
      </c>
      <c r="J41" s="120">
        <v>0.0</v>
      </c>
      <c r="K41" s="120">
        <v>0.0</v>
      </c>
      <c r="L41" s="120">
        <v>0.0</v>
      </c>
      <c r="M41" s="120">
        <v>0.0</v>
      </c>
      <c r="N41" s="120">
        <v>0.0</v>
      </c>
      <c r="O41" s="120">
        <v>0.0</v>
      </c>
      <c r="P41" s="120">
        <v>0.0</v>
      </c>
      <c r="Q41" s="120">
        <v>0.0</v>
      </c>
      <c r="R41" s="120">
        <v>0.0</v>
      </c>
      <c r="S41" s="120">
        <v>0.0</v>
      </c>
      <c r="T41" s="120">
        <v>0.0</v>
      </c>
      <c r="U41" s="120">
        <v>0.0</v>
      </c>
      <c r="V41" s="120">
        <v>0.0</v>
      </c>
      <c r="W41" s="120">
        <v>0.0</v>
      </c>
      <c r="X41" s="120">
        <v>0.0</v>
      </c>
      <c r="Y41" s="120">
        <v>0.0</v>
      </c>
      <c r="Z41" s="120">
        <v>0.0</v>
      </c>
      <c r="AA41" s="120">
        <v>0.0</v>
      </c>
      <c r="AB41" s="120">
        <v>0.0</v>
      </c>
      <c r="AC41" s="120">
        <v>0.0</v>
      </c>
      <c r="AD41" s="120">
        <v>0.0</v>
      </c>
      <c r="AE41" s="120">
        <v>0.0</v>
      </c>
      <c r="AF41" s="120">
        <v>0.0</v>
      </c>
      <c r="AG41" s="120">
        <v>0.0</v>
      </c>
      <c r="AH41" s="120">
        <v>0.0</v>
      </c>
      <c r="AI41" s="120">
        <v>0.0</v>
      </c>
      <c r="AJ41" s="120">
        <v>0.0</v>
      </c>
      <c r="AK41" s="120">
        <v>0.0</v>
      </c>
      <c r="AL41" s="120">
        <v>0.0</v>
      </c>
      <c r="AM41" s="120">
        <v>0.0</v>
      </c>
      <c r="AN41" s="120">
        <v>0.0</v>
      </c>
      <c r="AO41" s="120">
        <v>0.0</v>
      </c>
      <c r="AP41" s="120">
        <v>0.0</v>
      </c>
      <c r="AQ41" s="120">
        <v>0.0</v>
      </c>
      <c r="AR41" s="120">
        <v>0.0</v>
      </c>
      <c r="AS41" s="120">
        <v>0.0</v>
      </c>
      <c r="AT41" s="64"/>
      <c r="AU41" s="64"/>
    </row>
    <row r="42" ht="15.75" customHeight="1">
      <c r="A42" s="24"/>
      <c r="B42" s="24"/>
      <c r="C42" s="24"/>
      <c r="D42" s="133" t="s">
        <v>72</v>
      </c>
      <c r="E42" s="120" t="s">
        <v>56</v>
      </c>
      <c r="F42" s="120">
        <v>0.0</v>
      </c>
      <c r="G42" s="120">
        <v>0.0</v>
      </c>
      <c r="H42" s="120">
        <v>0.0</v>
      </c>
      <c r="I42" s="120">
        <v>0.0</v>
      </c>
      <c r="J42" s="120">
        <v>0.0</v>
      </c>
      <c r="K42" s="120">
        <v>0.0</v>
      </c>
      <c r="L42" s="120">
        <v>0.0</v>
      </c>
      <c r="M42" s="120">
        <v>0.0</v>
      </c>
      <c r="N42" s="120">
        <v>0.0</v>
      </c>
      <c r="O42" s="120">
        <v>0.0</v>
      </c>
      <c r="P42" s="120">
        <v>0.0</v>
      </c>
      <c r="Q42" s="120">
        <v>0.0</v>
      </c>
      <c r="R42" s="120">
        <v>0.0</v>
      </c>
      <c r="S42" s="120">
        <v>0.0</v>
      </c>
      <c r="T42" s="120">
        <v>0.0</v>
      </c>
      <c r="U42" s="120">
        <v>0.0</v>
      </c>
      <c r="V42" s="120">
        <v>0.0</v>
      </c>
      <c r="W42" s="120">
        <v>0.0</v>
      </c>
      <c r="X42" s="120">
        <v>0.0</v>
      </c>
      <c r="Y42" s="120">
        <v>0.0</v>
      </c>
      <c r="Z42" s="120">
        <v>0.0</v>
      </c>
      <c r="AA42" s="120">
        <v>0.0</v>
      </c>
      <c r="AB42" s="120">
        <v>0.0</v>
      </c>
      <c r="AC42" s="120">
        <v>0.0</v>
      </c>
      <c r="AD42" s="120">
        <v>0.0</v>
      </c>
      <c r="AE42" s="120">
        <v>0.0</v>
      </c>
      <c r="AF42" s="120">
        <v>0.0</v>
      </c>
      <c r="AG42" s="120">
        <v>0.0</v>
      </c>
      <c r="AH42" s="120">
        <v>0.0</v>
      </c>
      <c r="AI42" s="120">
        <v>0.0</v>
      </c>
      <c r="AJ42" s="120">
        <v>0.0</v>
      </c>
      <c r="AK42" s="120">
        <v>0.0</v>
      </c>
      <c r="AL42" s="120">
        <v>0.0</v>
      </c>
      <c r="AM42" s="120">
        <v>0.0</v>
      </c>
      <c r="AN42" s="120">
        <v>0.0</v>
      </c>
      <c r="AO42" s="120">
        <v>0.0</v>
      </c>
      <c r="AP42" s="120">
        <v>0.0</v>
      </c>
      <c r="AQ42" s="120">
        <v>0.0</v>
      </c>
      <c r="AR42" s="120">
        <v>0.0</v>
      </c>
      <c r="AS42" s="120">
        <v>0.0</v>
      </c>
      <c r="AT42" s="64"/>
      <c r="AU42" s="64"/>
    </row>
    <row r="43" ht="15.75" customHeight="1">
      <c r="A43" s="24"/>
      <c r="B43" s="24"/>
      <c r="C43" s="24"/>
      <c r="D43" s="10"/>
      <c r="E43" s="120" t="s">
        <v>54</v>
      </c>
      <c r="F43" s="120">
        <v>0.0</v>
      </c>
      <c r="G43" s="120">
        <v>0.0</v>
      </c>
      <c r="H43" s="120">
        <v>0.0</v>
      </c>
      <c r="I43" s="120">
        <v>0.0</v>
      </c>
      <c r="J43" s="120">
        <v>0.0</v>
      </c>
      <c r="K43" s="120">
        <v>0.0</v>
      </c>
      <c r="L43" s="120">
        <v>0.0</v>
      </c>
      <c r="M43" s="120">
        <v>0.0</v>
      </c>
      <c r="N43" s="120">
        <v>0.0</v>
      </c>
      <c r="O43" s="120">
        <v>0.0</v>
      </c>
      <c r="P43" s="120">
        <v>0.0</v>
      </c>
      <c r="Q43" s="120">
        <v>0.0</v>
      </c>
      <c r="R43" s="120">
        <v>0.0</v>
      </c>
      <c r="S43" s="120">
        <v>0.0</v>
      </c>
      <c r="T43" s="120">
        <v>0.0</v>
      </c>
      <c r="U43" s="120">
        <v>0.0</v>
      </c>
      <c r="V43" s="120">
        <v>0.0</v>
      </c>
      <c r="W43" s="120">
        <v>0.0</v>
      </c>
      <c r="X43" s="120">
        <v>0.0</v>
      </c>
      <c r="Y43" s="120">
        <v>0.0</v>
      </c>
      <c r="Z43" s="120">
        <v>0.0</v>
      </c>
      <c r="AA43" s="120">
        <v>0.0</v>
      </c>
      <c r="AB43" s="120">
        <v>0.0</v>
      </c>
      <c r="AC43" s="120">
        <v>0.0</v>
      </c>
      <c r="AD43" s="120">
        <v>0.0</v>
      </c>
      <c r="AE43" s="120">
        <v>0.0</v>
      </c>
      <c r="AF43" s="120">
        <v>0.0</v>
      </c>
      <c r="AG43" s="120">
        <v>0.0</v>
      </c>
      <c r="AH43" s="120">
        <v>0.0</v>
      </c>
      <c r="AI43" s="120">
        <v>0.0</v>
      </c>
      <c r="AJ43" s="120">
        <v>0.0</v>
      </c>
      <c r="AK43" s="120">
        <v>0.0</v>
      </c>
      <c r="AL43" s="120">
        <v>0.0</v>
      </c>
      <c r="AM43" s="120">
        <v>0.0</v>
      </c>
      <c r="AN43" s="120">
        <v>0.0</v>
      </c>
      <c r="AO43" s="120">
        <v>0.0</v>
      </c>
      <c r="AP43" s="120">
        <v>0.0</v>
      </c>
      <c r="AQ43" s="120">
        <v>0.0</v>
      </c>
      <c r="AR43" s="120">
        <v>0.0</v>
      </c>
      <c r="AS43" s="120">
        <v>0.0</v>
      </c>
      <c r="AT43" s="64"/>
      <c r="AU43" s="64"/>
    </row>
    <row r="44" ht="15.75" customHeight="1">
      <c r="A44" s="24"/>
      <c r="B44" s="24"/>
      <c r="C44" s="24"/>
      <c r="D44" s="133" t="s">
        <v>73</v>
      </c>
      <c r="E44" s="120" t="s">
        <v>56</v>
      </c>
      <c r="F44" s="120">
        <v>0.0</v>
      </c>
      <c r="G44" s="120">
        <v>0.0</v>
      </c>
      <c r="H44" s="120">
        <v>0.0</v>
      </c>
      <c r="I44" s="120">
        <v>0.0</v>
      </c>
      <c r="J44" s="120">
        <v>0.0</v>
      </c>
      <c r="K44" s="120">
        <v>0.0</v>
      </c>
      <c r="L44" s="120">
        <v>0.0</v>
      </c>
      <c r="M44" s="120">
        <v>0.0</v>
      </c>
      <c r="N44" s="120">
        <v>0.0</v>
      </c>
      <c r="O44" s="120">
        <v>0.0</v>
      </c>
      <c r="P44" s="120">
        <v>0.0</v>
      </c>
      <c r="Q44" s="120">
        <v>0.0</v>
      </c>
      <c r="R44" s="120">
        <v>0.0</v>
      </c>
      <c r="S44" s="120">
        <v>0.0</v>
      </c>
      <c r="T44" s="120">
        <v>0.0</v>
      </c>
      <c r="U44" s="120">
        <v>0.0</v>
      </c>
      <c r="V44" s="120">
        <v>0.0</v>
      </c>
      <c r="W44" s="120">
        <v>0.0</v>
      </c>
      <c r="X44" s="120">
        <v>0.0</v>
      </c>
      <c r="Y44" s="120">
        <v>0.0</v>
      </c>
      <c r="Z44" s="120">
        <v>0.0</v>
      </c>
      <c r="AA44" s="120">
        <v>0.0</v>
      </c>
      <c r="AB44" s="120">
        <v>0.0</v>
      </c>
      <c r="AC44" s="120">
        <v>0.0</v>
      </c>
      <c r="AD44" s="120">
        <v>0.0</v>
      </c>
      <c r="AE44" s="120">
        <v>0.0</v>
      </c>
      <c r="AF44" s="120">
        <v>0.0</v>
      </c>
      <c r="AG44" s="120">
        <v>0.0</v>
      </c>
      <c r="AH44" s="120">
        <v>0.0</v>
      </c>
      <c r="AI44" s="120">
        <v>0.0</v>
      </c>
      <c r="AJ44" s="120">
        <v>0.0</v>
      </c>
      <c r="AK44" s="120">
        <v>0.0</v>
      </c>
      <c r="AL44" s="120">
        <v>0.0</v>
      </c>
      <c r="AM44" s="120">
        <v>0.0</v>
      </c>
      <c r="AN44" s="120">
        <v>0.0</v>
      </c>
      <c r="AO44" s="120">
        <v>0.0</v>
      </c>
      <c r="AP44" s="120">
        <v>0.0</v>
      </c>
      <c r="AQ44" s="120">
        <v>0.0</v>
      </c>
      <c r="AR44" s="120">
        <v>0.0</v>
      </c>
      <c r="AS44" s="120">
        <v>0.0</v>
      </c>
      <c r="AT44" s="64"/>
      <c r="AU44" s="64"/>
    </row>
    <row r="45" ht="15.75" customHeight="1">
      <c r="A45" s="24"/>
      <c r="B45" s="24"/>
      <c r="C45" s="24"/>
      <c r="D45" s="10"/>
      <c r="E45" s="120" t="s">
        <v>54</v>
      </c>
      <c r="F45" s="120">
        <v>0.0</v>
      </c>
      <c r="G45" s="120">
        <v>0.0</v>
      </c>
      <c r="H45" s="120">
        <v>0.0</v>
      </c>
      <c r="I45" s="120">
        <v>0.0</v>
      </c>
      <c r="J45" s="120">
        <v>0.0</v>
      </c>
      <c r="K45" s="120">
        <v>0.0</v>
      </c>
      <c r="L45" s="120">
        <v>0.0</v>
      </c>
      <c r="M45" s="120">
        <v>0.0</v>
      </c>
      <c r="N45" s="120">
        <v>0.0</v>
      </c>
      <c r="O45" s="120">
        <v>0.0</v>
      </c>
      <c r="P45" s="120">
        <v>0.0</v>
      </c>
      <c r="Q45" s="120">
        <v>0.0</v>
      </c>
      <c r="R45" s="120">
        <v>0.0</v>
      </c>
      <c r="S45" s="120">
        <v>0.0</v>
      </c>
      <c r="T45" s="120">
        <v>0.0</v>
      </c>
      <c r="U45" s="120">
        <v>0.0</v>
      </c>
      <c r="V45" s="120">
        <v>0.0</v>
      </c>
      <c r="W45" s="120">
        <v>0.0</v>
      </c>
      <c r="X45" s="120">
        <v>0.0</v>
      </c>
      <c r="Y45" s="120">
        <v>0.0</v>
      </c>
      <c r="Z45" s="120">
        <v>0.0</v>
      </c>
      <c r="AA45" s="120">
        <v>0.0</v>
      </c>
      <c r="AB45" s="120">
        <v>0.0</v>
      </c>
      <c r="AC45" s="120">
        <v>0.0</v>
      </c>
      <c r="AD45" s="120">
        <v>0.0</v>
      </c>
      <c r="AE45" s="120">
        <v>0.0</v>
      </c>
      <c r="AF45" s="120">
        <v>0.0</v>
      </c>
      <c r="AG45" s="120">
        <v>0.0</v>
      </c>
      <c r="AH45" s="120">
        <v>0.0</v>
      </c>
      <c r="AI45" s="120">
        <v>0.0</v>
      </c>
      <c r="AJ45" s="120">
        <v>0.0</v>
      </c>
      <c r="AK45" s="120">
        <v>0.0</v>
      </c>
      <c r="AL45" s="120">
        <v>0.0</v>
      </c>
      <c r="AM45" s="120">
        <v>0.0</v>
      </c>
      <c r="AN45" s="120">
        <v>0.0</v>
      </c>
      <c r="AO45" s="120">
        <v>0.0</v>
      </c>
      <c r="AP45" s="120">
        <v>0.0</v>
      </c>
      <c r="AQ45" s="120">
        <v>0.0</v>
      </c>
      <c r="AR45" s="120">
        <v>0.0</v>
      </c>
      <c r="AS45" s="120">
        <v>0.0</v>
      </c>
      <c r="AT45" s="64"/>
      <c r="AU45" s="64"/>
    </row>
    <row r="46" ht="15.75" customHeight="1">
      <c r="A46" s="24"/>
      <c r="B46" s="24"/>
      <c r="C46" s="24"/>
      <c r="D46" s="133" t="s">
        <v>74</v>
      </c>
      <c r="E46" s="120" t="s">
        <v>56</v>
      </c>
      <c r="F46" s="120">
        <v>0.0</v>
      </c>
      <c r="G46" s="120">
        <v>0.0</v>
      </c>
      <c r="H46" s="120">
        <v>0.0</v>
      </c>
      <c r="I46" s="120">
        <v>0.0</v>
      </c>
      <c r="J46" s="120">
        <v>0.0</v>
      </c>
      <c r="K46" s="120">
        <v>0.0</v>
      </c>
      <c r="L46" s="120">
        <v>0.0</v>
      </c>
      <c r="M46" s="120">
        <v>0.0</v>
      </c>
      <c r="N46" s="120">
        <v>0.0</v>
      </c>
      <c r="O46" s="120">
        <v>0.0</v>
      </c>
      <c r="P46" s="120">
        <v>0.0</v>
      </c>
      <c r="Q46" s="120">
        <v>0.0</v>
      </c>
      <c r="R46" s="120">
        <v>0.0</v>
      </c>
      <c r="S46" s="120">
        <v>0.0</v>
      </c>
      <c r="T46" s="120">
        <v>0.0</v>
      </c>
      <c r="U46" s="120">
        <v>0.0</v>
      </c>
      <c r="V46" s="120">
        <v>0.0</v>
      </c>
      <c r="W46" s="120">
        <v>0.0</v>
      </c>
      <c r="X46" s="120">
        <v>0.0</v>
      </c>
      <c r="Y46" s="120">
        <v>0.0</v>
      </c>
      <c r="Z46" s="120">
        <v>0.0</v>
      </c>
      <c r="AA46" s="120">
        <v>0.0</v>
      </c>
      <c r="AB46" s="120">
        <v>0.0</v>
      </c>
      <c r="AC46" s="120">
        <v>0.0</v>
      </c>
      <c r="AD46" s="120">
        <v>0.0</v>
      </c>
      <c r="AE46" s="120">
        <v>0.0</v>
      </c>
      <c r="AF46" s="120">
        <v>0.0</v>
      </c>
      <c r="AG46" s="120">
        <v>0.0</v>
      </c>
      <c r="AH46" s="120">
        <v>0.0</v>
      </c>
      <c r="AI46" s="120">
        <v>0.0</v>
      </c>
      <c r="AJ46" s="120">
        <v>0.0</v>
      </c>
      <c r="AK46" s="120">
        <v>0.0</v>
      </c>
      <c r="AL46" s="120">
        <v>0.0</v>
      </c>
      <c r="AM46" s="120">
        <v>0.0</v>
      </c>
      <c r="AN46" s="120">
        <v>0.0</v>
      </c>
      <c r="AO46" s="120">
        <v>0.0</v>
      </c>
      <c r="AP46" s="120">
        <v>0.0</v>
      </c>
      <c r="AQ46" s="120">
        <v>0.0</v>
      </c>
      <c r="AR46" s="120">
        <v>0.0</v>
      </c>
      <c r="AS46" s="120">
        <v>0.0</v>
      </c>
      <c r="AT46" s="64"/>
      <c r="AU46" s="64"/>
    </row>
    <row r="47" ht="15.75" customHeight="1">
      <c r="A47" s="10"/>
      <c r="B47" s="10"/>
      <c r="C47" s="10"/>
      <c r="D47" s="10"/>
      <c r="E47" s="120" t="s">
        <v>54</v>
      </c>
      <c r="F47" s="120">
        <v>0.0</v>
      </c>
      <c r="G47" s="120">
        <v>0.0</v>
      </c>
      <c r="H47" s="120">
        <v>0.0</v>
      </c>
      <c r="I47" s="120">
        <v>0.0</v>
      </c>
      <c r="J47" s="120">
        <v>0.0</v>
      </c>
      <c r="K47" s="120">
        <v>0.0</v>
      </c>
      <c r="L47" s="120">
        <v>0.0</v>
      </c>
      <c r="M47" s="120">
        <v>0.0</v>
      </c>
      <c r="N47" s="120">
        <v>0.0</v>
      </c>
      <c r="O47" s="120">
        <v>0.0</v>
      </c>
      <c r="P47" s="120">
        <v>0.0</v>
      </c>
      <c r="Q47" s="120">
        <v>0.0</v>
      </c>
      <c r="R47" s="120">
        <v>0.0</v>
      </c>
      <c r="S47" s="120">
        <v>0.0</v>
      </c>
      <c r="T47" s="120">
        <v>0.0</v>
      </c>
      <c r="U47" s="120">
        <v>0.0</v>
      </c>
      <c r="V47" s="120">
        <v>0.0</v>
      </c>
      <c r="W47" s="120">
        <v>0.0</v>
      </c>
      <c r="X47" s="120">
        <v>0.0</v>
      </c>
      <c r="Y47" s="120">
        <v>0.0</v>
      </c>
      <c r="Z47" s="120">
        <v>0.0</v>
      </c>
      <c r="AA47" s="120">
        <v>0.0</v>
      </c>
      <c r="AB47" s="120">
        <v>0.0</v>
      </c>
      <c r="AC47" s="120">
        <v>0.0</v>
      </c>
      <c r="AD47" s="120">
        <v>0.0</v>
      </c>
      <c r="AE47" s="120">
        <v>0.0</v>
      </c>
      <c r="AF47" s="120">
        <v>0.0</v>
      </c>
      <c r="AG47" s="120">
        <v>0.0</v>
      </c>
      <c r="AH47" s="120">
        <v>0.0</v>
      </c>
      <c r="AI47" s="120">
        <v>0.0</v>
      </c>
      <c r="AJ47" s="120">
        <v>0.0</v>
      </c>
      <c r="AK47" s="120">
        <v>0.0</v>
      </c>
      <c r="AL47" s="120">
        <v>0.0</v>
      </c>
      <c r="AM47" s="120">
        <v>0.0</v>
      </c>
      <c r="AN47" s="120">
        <v>0.0</v>
      </c>
      <c r="AO47" s="120">
        <v>0.0</v>
      </c>
      <c r="AP47" s="120">
        <v>0.0</v>
      </c>
      <c r="AQ47" s="120">
        <v>0.0</v>
      </c>
      <c r="AR47" s="120">
        <v>0.0</v>
      </c>
      <c r="AS47" s="120">
        <v>0.0</v>
      </c>
      <c r="AT47" s="64"/>
      <c r="AU47" s="64"/>
    </row>
    <row r="48" ht="15.75" customHeight="1">
      <c r="A48" s="150"/>
      <c r="B48" s="151"/>
      <c r="C48" s="152"/>
      <c r="D48" s="153"/>
      <c r="E48" s="150" t="s">
        <v>21</v>
      </c>
      <c r="F48" s="152">
        <v>0.0</v>
      </c>
      <c r="G48" s="152">
        <v>0.0</v>
      </c>
      <c r="H48" s="152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152">
        <v>0.0</v>
      </c>
      <c r="Q48" s="152">
        <v>0.0</v>
      </c>
      <c r="R48" s="152">
        <v>0.0</v>
      </c>
      <c r="S48" s="152">
        <v>0.0</v>
      </c>
      <c r="T48" s="152">
        <v>0.0</v>
      </c>
      <c r="U48" s="152">
        <v>0.0</v>
      </c>
      <c r="V48" s="152">
        <v>0.0</v>
      </c>
      <c r="W48" s="152">
        <v>0.0</v>
      </c>
      <c r="X48" s="152">
        <v>0.0</v>
      </c>
      <c r="Y48" s="152">
        <v>0.0</v>
      </c>
      <c r="Z48" s="152">
        <v>0.0</v>
      </c>
      <c r="AA48" s="152">
        <v>0.0</v>
      </c>
      <c r="AB48" s="152">
        <v>0.0</v>
      </c>
      <c r="AC48" s="152">
        <v>0.0</v>
      </c>
      <c r="AD48" s="152">
        <v>0.0</v>
      </c>
      <c r="AE48" s="152">
        <v>0.0</v>
      </c>
      <c r="AF48" s="152">
        <v>0.0</v>
      </c>
      <c r="AG48" s="152">
        <v>0.0</v>
      </c>
      <c r="AH48" s="152">
        <v>0.0</v>
      </c>
      <c r="AI48" s="152">
        <v>0.0</v>
      </c>
      <c r="AJ48" s="152">
        <v>0.0</v>
      </c>
      <c r="AK48" s="152">
        <v>0.0</v>
      </c>
      <c r="AL48" s="152">
        <v>0.0</v>
      </c>
      <c r="AM48" s="152">
        <v>0.0</v>
      </c>
      <c r="AN48" s="152">
        <v>0.0</v>
      </c>
      <c r="AO48" s="152">
        <v>0.0</v>
      </c>
      <c r="AP48" s="152">
        <v>0.0</v>
      </c>
      <c r="AQ48" s="152">
        <v>0.0</v>
      </c>
      <c r="AR48" s="152">
        <v>0.0</v>
      </c>
      <c r="AS48" s="152">
        <v>0.0</v>
      </c>
      <c r="AT48" s="64"/>
      <c r="AU48" s="64"/>
    </row>
    <row r="49" ht="15.75" customHeight="1">
      <c r="A49" s="154"/>
      <c r="B49" s="155"/>
      <c r="C49" s="156"/>
      <c r="D49" s="157"/>
      <c r="E49" s="158" t="s">
        <v>21</v>
      </c>
      <c r="F49" s="159">
        <f t="shared" ref="F49:AS49" si="27">SUM(F13,F25,F37,F48)</f>
        <v>32</v>
      </c>
      <c r="G49" s="159">
        <f t="shared" si="27"/>
        <v>47</v>
      </c>
      <c r="H49" s="159">
        <f t="shared" si="27"/>
        <v>0</v>
      </c>
      <c r="I49" s="159">
        <f t="shared" si="27"/>
        <v>79</v>
      </c>
      <c r="J49" s="159">
        <f t="shared" si="27"/>
        <v>0</v>
      </c>
      <c r="K49" s="159">
        <f t="shared" si="27"/>
        <v>0</v>
      </c>
      <c r="L49" s="159">
        <f t="shared" si="27"/>
        <v>0</v>
      </c>
      <c r="M49" s="159">
        <f t="shared" si="27"/>
        <v>0</v>
      </c>
      <c r="N49" s="159">
        <f t="shared" si="27"/>
        <v>31</v>
      </c>
      <c r="O49" s="159">
        <f t="shared" si="27"/>
        <v>36</v>
      </c>
      <c r="P49" s="159">
        <f t="shared" si="27"/>
        <v>0</v>
      </c>
      <c r="Q49" s="159">
        <f t="shared" si="27"/>
        <v>67</v>
      </c>
      <c r="R49" s="159">
        <f t="shared" si="27"/>
        <v>0</v>
      </c>
      <c r="S49" s="159">
        <f t="shared" si="27"/>
        <v>0</v>
      </c>
      <c r="T49" s="159">
        <f t="shared" si="27"/>
        <v>0</v>
      </c>
      <c r="U49" s="159">
        <f t="shared" si="27"/>
        <v>0</v>
      </c>
      <c r="V49" s="159">
        <f t="shared" si="27"/>
        <v>1</v>
      </c>
      <c r="W49" s="159">
        <f t="shared" si="27"/>
        <v>11</v>
      </c>
      <c r="X49" s="159">
        <f t="shared" si="27"/>
        <v>0</v>
      </c>
      <c r="Y49" s="159">
        <f t="shared" si="27"/>
        <v>12</v>
      </c>
      <c r="Z49" s="159">
        <f t="shared" si="27"/>
        <v>0</v>
      </c>
      <c r="AA49" s="159">
        <f t="shared" si="27"/>
        <v>0</v>
      </c>
      <c r="AB49" s="159">
        <f t="shared" si="27"/>
        <v>0</v>
      </c>
      <c r="AC49" s="159">
        <f t="shared" si="27"/>
        <v>0</v>
      </c>
      <c r="AD49" s="159">
        <f t="shared" si="27"/>
        <v>0</v>
      </c>
      <c r="AE49" s="159">
        <f t="shared" si="27"/>
        <v>0</v>
      </c>
      <c r="AF49" s="159">
        <f t="shared" si="27"/>
        <v>0</v>
      </c>
      <c r="AG49" s="159">
        <f t="shared" si="27"/>
        <v>0</v>
      </c>
      <c r="AH49" s="159">
        <f t="shared" si="27"/>
        <v>0</v>
      </c>
      <c r="AI49" s="159">
        <f t="shared" si="27"/>
        <v>0</v>
      </c>
      <c r="AJ49" s="159">
        <f t="shared" si="27"/>
        <v>0</v>
      </c>
      <c r="AK49" s="159">
        <f t="shared" si="27"/>
        <v>0</v>
      </c>
      <c r="AL49" s="159">
        <f t="shared" si="27"/>
        <v>0</v>
      </c>
      <c r="AM49" s="159">
        <f t="shared" si="27"/>
        <v>0</v>
      </c>
      <c r="AN49" s="159">
        <f t="shared" si="27"/>
        <v>0</v>
      </c>
      <c r="AO49" s="159">
        <f t="shared" si="27"/>
        <v>0</v>
      </c>
      <c r="AP49" s="159">
        <f t="shared" si="27"/>
        <v>32</v>
      </c>
      <c r="AQ49" s="159">
        <f t="shared" si="27"/>
        <v>47</v>
      </c>
      <c r="AR49" s="159">
        <f t="shared" si="27"/>
        <v>0</v>
      </c>
      <c r="AS49" s="159">
        <f t="shared" si="27"/>
        <v>79</v>
      </c>
      <c r="AT49" s="64"/>
      <c r="AU49" s="64"/>
    </row>
    <row r="50" ht="15.75" customHeight="1">
      <c r="A50" s="109"/>
      <c r="B50" s="110"/>
      <c r="C50" s="64"/>
      <c r="D50" s="116"/>
      <c r="E50" s="111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</row>
    <row r="51" ht="15.75" customHeight="1">
      <c r="A51" s="109"/>
      <c r="B51" s="110"/>
      <c r="C51" s="64"/>
      <c r="D51" s="116"/>
      <c r="E51" s="111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</row>
    <row r="52" ht="15.75" customHeight="1">
      <c r="A52" s="109"/>
      <c r="B52" s="110"/>
      <c r="C52" s="64"/>
      <c r="D52" s="116"/>
      <c r="E52" s="111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</row>
    <row r="53" ht="15.75" customHeight="1">
      <c r="A53" s="109"/>
      <c r="B53" s="110"/>
      <c r="C53" s="64"/>
      <c r="D53" s="116"/>
      <c r="E53" s="111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</row>
    <row r="54" ht="15.75" customHeight="1">
      <c r="A54" s="109"/>
      <c r="B54" s="110"/>
      <c r="C54" s="64"/>
      <c r="D54" s="116"/>
      <c r="E54" s="111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</row>
    <row r="55" ht="15.75" customHeight="1">
      <c r="A55" s="109"/>
      <c r="B55" s="110"/>
      <c r="C55" s="64"/>
      <c r="D55" s="116"/>
      <c r="E55" s="111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</row>
    <row r="56" ht="15.75" customHeight="1">
      <c r="A56" s="109"/>
      <c r="B56" s="110"/>
      <c r="C56" s="64"/>
      <c r="D56" s="116"/>
      <c r="E56" s="111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</row>
    <row r="57" ht="15.75" customHeight="1">
      <c r="A57" s="109"/>
      <c r="B57" s="110"/>
      <c r="C57" s="64"/>
      <c r="D57" s="116"/>
      <c r="E57" s="111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</row>
    <row r="58" ht="15.75" customHeight="1">
      <c r="A58" s="109"/>
      <c r="B58" s="110"/>
      <c r="C58" s="64"/>
      <c r="D58" s="116"/>
      <c r="E58" s="111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</row>
    <row r="59" ht="15.75" customHeight="1">
      <c r="A59" s="109"/>
      <c r="B59" s="110"/>
      <c r="C59" s="64"/>
      <c r="D59" s="116"/>
      <c r="E59" s="111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</row>
    <row r="60" ht="15.75" customHeight="1">
      <c r="A60" s="109"/>
      <c r="B60" s="110"/>
      <c r="D60" s="116"/>
      <c r="E60" s="113"/>
    </row>
    <row r="61" ht="15.75" customHeight="1">
      <c r="A61" s="109"/>
      <c r="B61" s="110"/>
      <c r="D61" s="116"/>
      <c r="E61" s="113"/>
    </row>
    <row r="62" ht="15.75" customHeight="1">
      <c r="A62" s="109"/>
      <c r="B62" s="110"/>
      <c r="D62" s="116"/>
      <c r="E62" s="113"/>
    </row>
    <row r="63" ht="15.75" customHeight="1">
      <c r="A63" s="109"/>
      <c r="B63" s="110"/>
      <c r="D63" s="116"/>
      <c r="E63" s="113"/>
    </row>
    <row r="64" ht="15.75" customHeight="1">
      <c r="A64" s="109"/>
      <c r="B64" s="110"/>
      <c r="D64" s="116"/>
      <c r="E64" s="113"/>
    </row>
    <row r="65" ht="15.75" customHeight="1">
      <c r="A65" s="109"/>
      <c r="B65" s="110"/>
      <c r="D65" s="116"/>
      <c r="E65" s="113"/>
    </row>
    <row r="66" ht="15.75" customHeight="1">
      <c r="A66" s="109"/>
      <c r="B66" s="110"/>
      <c r="D66" s="116"/>
      <c r="E66" s="113"/>
    </row>
    <row r="67" ht="15.75" customHeight="1">
      <c r="A67" s="109"/>
      <c r="B67" s="110"/>
      <c r="D67" s="116"/>
      <c r="E67" s="113"/>
    </row>
    <row r="68" ht="15.75" customHeight="1">
      <c r="A68" s="109"/>
      <c r="B68" s="110"/>
      <c r="D68" s="116"/>
      <c r="E68" s="113"/>
    </row>
    <row r="69" ht="15.75" customHeight="1">
      <c r="A69" s="109"/>
      <c r="B69" s="110"/>
      <c r="D69" s="116"/>
      <c r="E69" s="113"/>
    </row>
    <row r="70" ht="15.75" customHeight="1">
      <c r="A70" s="109"/>
      <c r="B70" s="110"/>
      <c r="D70" s="116"/>
      <c r="E70" s="113"/>
    </row>
    <row r="71" ht="15.75" customHeight="1">
      <c r="A71" s="109"/>
      <c r="B71" s="110"/>
      <c r="D71" s="116"/>
      <c r="E71" s="113"/>
    </row>
    <row r="72" ht="15.75" customHeight="1">
      <c r="A72" s="109"/>
      <c r="B72" s="110"/>
      <c r="D72" s="116"/>
      <c r="E72" s="113"/>
    </row>
    <row r="73" ht="15.75" customHeight="1">
      <c r="A73" s="109"/>
      <c r="B73" s="110"/>
      <c r="D73" s="116"/>
      <c r="E73" s="113"/>
    </row>
    <row r="74" ht="15.75" customHeight="1">
      <c r="A74" s="109"/>
      <c r="B74" s="110"/>
      <c r="D74" s="116"/>
      <c r="E74" s="113"/>
    </row>
    <row r="75" ht="15.75" customHeight="1">
      <c r="A75" s="109"/>
      <c r="B75" s="110"/>
      <c r="D75" s="116"/>
      <c r="E75" s="113"/>
    </row>
    <row r="76" ht="15.75" customHeight="1">
      <c r="A76" s="109"/>
      <c r="B76" s="110"/>
      <c r="D76" s="116"/>
      <c r="E76" s="113"/>
    </row>
    <row r="77" ht="15.75" customHeight="1">
      <c r="A77" s="109"/>
      <c r="B77" s="110"/>
      <c r="D77" s="116"/>
      <c r="E77" s="113"/>
    </row>
    <row r="78" ht="15.75" customHeight="1">
      <c r="A78" s="109"/>
      <c r="B78" s="110"/>
      <c r="D78" s="116"/>
      <c r="E78" s="113"/>
    </row>
    <row r="79" ht="15.75" customHeight="1">
      <c r="A79" s="109"/>
      <c r="B79" s="110"/>
      <c r="D79" s="116"/>
      <c r="E79" s="113"/>
    </row>
    <row r="80" ht="15.75" customHeight="1">
      <c r="A80" s="109"/>
      <c r="B80" s="110"/>
      <c r="D80" s="116"/>
      <c r="E80" s="113"/>
    </row>
    <row r="81" ht="15.75" customHeight="1">
      <c r="A81" s="109"/>
      <c r="B81" s="110"/>
      <c r="D81" s="116"/>
      <c r="E81" s="113"/>
    </row>
    <row r="82" ht="15.75" customHeight="1">
      <c r="A82" s="109"/>
      <c r="B82" s="110"/>
      <c r="D82" s="116"/>
      <c r="E82" s="113"/>
    </row>
    <row r="83" ht="15.75" customHeight="1">
      <c r="A83" s="109"/>
      <c r="B83" s="110"/>
      <c r="D83" s="116"/>
      <c r="E83" s="113"/>
    </row>
    <row r="84" ht="15.75" customHeight="1">
      <c r="A84" s="109"/>
      <c r="B84" s="110"/>
      <c r="D84" s="116"/>
      <c r="E84" s="113"/>
    </row>
    <row r="85" ht="15.75" customHeight="1">
      <c r="A85" s="109"/>
      <c r="B85" s="110"/>
      <c r="D85" s="116"/>
      <c r="E85" s="113"/>
    </row>
    <row r="86" ht="15.75" customHeight="1">
      <c r="A86" s="109"/>
      <c r="B86" s="110"/>
      <c r="D86" s="116"/>
      <c r="E86" s="113"/>
    </row>
    <row r="87" ht="15.75" customHeight="1">
      <c r="A87" s="109"/>
      <c r="B87" s="110"/>
      <c r="D87" s="116"/>
      <c r="E87" s="113"/>
    </row>
    <row r="88" ht="15.75" customHeight="1">
      <c r="A88" s="109"/>
      <c r="B88" s="110"/>
      <c r="D88" s="116"/>
      <c r="E88" s="113"/>
    </row>
    <row r="89" ht="15.75" customHeight="1">
      <c r="A89" s="109"/>
      <c r="B89" s="110"/>
      <c r="D89" s="116"/>
      <c r="E89" s="113"/>
    </row>
    <row r="90" ht="15.75" customHeight="1">
      <c r="A90" s="109"/>
      <c r="B90" s="110"/>
      <c r="D90" s="116"/>
      <c r="E90" s="113"/>
    </row>
    <row r="91" ht="15.75" customHeight="1">
      <c r="A91" s="109"/>
      <c r="B91" s="110"/>
      <c r="D91" s="116"/>
      <c r="E91" s="113"/>
    </row>
    <row r="92" ht="15.75" customHeight="1">
      <c r="A92" s="109"/>
      <c r="B92" s="110"/>
      <c r="D92" s="116"/>
      <c r="E92" s="113"/>
    </row>
    <row r="93" ht="15.75" customHeight="1">
      <c r="A93" s="109"/>
      <c r="B93" s="110"/>
      <c r="D93" s="116"/>
      <c r="E93" s="113"/>
    </row>
    <row r="94" ht="15.75" customHeight="1">
      <c r="A94" s="109"/>
      <c r="B94" s="110"/>
      <c r="D94" s="116"/>
      <c r="E94" s="113"/>
    </row>
    <row r="95" ht="15.75" customHeight="1">
      <c r="A95" s="109"/>
      <c r="B95" s="110"/>
      <c r="D95" s="116"/>
      <c r="E95" s="113"/>
    </row>
    <row r="96" ht="15.75" customHeight="1">
      <c r="A96" s="109"/>
      <c r="B96" s="110"/>
      <c r="D96" s="116"/>
      <c r="E96" s="113"/>
    </row>
    <row r="97" ht="15.75" customHeight="1">
      <c r="A97" s="109"/>
      <c r="B97" s="110"/>
      <c r="D97" s="116"/>
      <c r="E97" s="113"/>
    </row>
    <row r="98" ht="15.75" customHeight="1">
      <c r="A98" s="109"/>
      <c r="B98" s="110"/>
      <c r="D98" s="116"/>
      <c r="E98" s="113"/>
    </row>
    <row r="99" ht="15.75" customHeight="1">
      <c r="A99" s="109"/>
      <c r="B99" s="110"/>
      <c r="D99" s="116"/>
      <c r="E99" s="113"/>
    </row>
    <row r="100" ht="15.75" customHeight="1">
      <c r="A100" s="109"/>
      <c r="B100" s="110"/>
      <c r="D100" s="116"/>
      <c r="E100" s="113"/>
    </row>
    <row r="101" ht="15.75" customHeight="1">
      <c r="A101" s="109"/>
      <c r="B101" s="110"/>
      <c r="D101" s="116"/>
      <c r="E101" s="113"/>
    </row>
    <row r="102" ht="15.75" customHeight="1">
      <c r="A102" s="109"/>
      <c r="B102" s="110"/>
      <c r="D102" s="116"/>
      <c r="E102" s="113"/>
    </row>
    <row r="103" ht="15.75" customHeight="1">
      <c r="A103" s="109"/>
      <c r="B103" s="110"/>
      <c r="D103" s="116"/>
      <c r="E103" s="113"/>
    </row>
    <row r="104" ht="15.75" customHeight="1">
      <c r="A104" s="109"/>
      <c r="B104" s="110"/>
      <c r="D104" s="116"/>
      <c r="E104" s="113"/>
    </row>
    <row r="105" ht="15.75" customHeight="1">
      <c r="A105" s="109"/>
      <c r="B105" s="110"/>
      <c r="D105" s="116"/>
      <c r="E105" s="113"/>
    </row>
    <row r="106" ht="15.75" customHeight="1">
      <c r="A106" s="109"/>
      <c r="B106" s="110"/>
      <c r="D106" s="116"/>
      <c r="E106" s="113"/>
    </row>
    <row r="107" ht="15.75" customHeight="1">
      <c r="A107" s="109"/>
      <c r="B107" s="110"/>
      <c r="D107" s="116"/>
      <c r="E107" s="113"/>
    </row>
    <row r="108" ht="15.75" customHeight="1">
      <c r="A108" s="109"/>
      <c r="B108" s="110"/>
      <c r="D108" s="116"/>
      <c r="E108" s="113"/>
    </row>
    <row r="109" ht="15.75" customHeight="1">
      <c r="A109" s="109"/>
      <c r="B109" s="110"/>
      <c r="D109" s="116"/>
      <c r="E109" s="113"/>
    </row>
    <row r="110" ht="15.75" customHeight="1">
      <c r="A110" s="109"/>
      <c r="B110" s="110"/>
      <c r="D110" s="116"/>
      <c r="E110" s="113"/>
    </row>
    <row r="111" ht="15.75" customHeight="1">
      <c r="A111" s="109"/>
      <c r="B111" s="110"/>
      <c r="D111" s="116"/>
      <c r="E111" s="113"/>
    </row>
    <row r="112" ht="15.75" customHeight="1">
      <c r="A112" s="109"/>
      <c r="B112" s="110"/>
      <c r="D112" s="116"/>
      <c r="E112" s="113"/>
    </row>
    <row r="113" ht="15.75" customHeight="1">
      <c r="A113" s="109"/>
      <c r="B113" s="110"/>
      <c r="D113" s="116"/>
      <c r="E113" s="113"/>
    </row>
    <row r="114" ht="15.75" customHeight="1">
      <c r="A114" s="109"/>
      <c r="B114" s="110"/>
      <c r="D114" s="116"/>
      <c r="E114" s="113"/>
    </row>
    <row r="115" ht="15.75" customHeight="1">
      <c r="A115" s="109"/>
      <c r="B115" s="110"/>
      <c r="D115" s="116"/>
      <c r="E115" s="113"/>
    </row>
    <row r="116" ht="15.75" customHeight="1">
      <c r="A116" s="109"/>
      <c r="B116" s="110"/>
      <c r="D116" s="116"/>
      <c r="E116" s="113"/>
    </row>
    <row r="117" ht="15.75" customHeight="1">
      <c r="A117" s="109"/>
      <c r="B117" s="110"/>
      <c r="D117" s="116"/>
      <c r="E117" s="113"/>
    </row>
    <row r="118" ht="15.75" customHeight="1">
      <c r="A118" s="109"/>
      <c r="B118" s="110"/>
      <c r="D118" s="116"/>
      <c r="E118" s="113"/>
    </row>
    <row r="119" ht="15.75" customHeight="1">
      <c r="A119" s="109"/>
      <c r="B119" s="110"/>
      <c r="D119" s="116"/>
      <c r="E119" s="113"/>
    </row>
    <row r="120" ht="15.75" customHeight="1">
      <c r="A120" s="109"/>
      <c r="B120" s="110"/>
      <c r="D120" s="116"/>
      <c r="E120" s="113"/>
    </row>
    <row r="121" ht="15.75" customHeight="1">
      <c r="A121" s="109"/>
      <c r="B121" s="110"/>
      <c r="D121" s="116"/>
      <c r="E121" s="113"/>
    </row>
    <row r="122" ht="15.75" customHeight="1">
      <c r="A122" s="109"/>
      <c r="B122" s="110"/>
      <c r="D122" s="116"/>
      <c r="E122" s="113"/>
    </row>
    <row r="123" ht="15.75" customHeight="1">
      <c r="A123" s="109"/>
      <c r="B123" s="110"/>
      <c r="D123" s="116"/>
      <c r="E123" s="113"/>
    </row>
    <row r="124" ht="15.75" customHeight="1">
      <c r="A124" s="109"/>
      <c r="B124" s="110"/>
      <c r="D124" s="116"/>
      <c r="E124" s="113"/>
    </row>
    <row r="125" ht="15.75" customHeight="1">
      <c r="A125" s="109"/>
      <c r="B125" s="110"/>
      <c r="D125" s="116"/>
      <c r="E125" s="113"/>
    </row>
    <row r="126" ht="15.75" customHeight="1">
      <c r="A126" s="109"/>
      <c r="B126" s="110"/>
      <c r="D126" s="116"/>
      <c r="E126" s="113"/>
    </row>
    <row r="127" ht="15.75" customHeight="1">
      <c r="A127" s="109"/>
      <c r="B127" s="110"/>
      <c r="D127" s="116"/>
      <c r="E127" s="113"/>
    </row>
    <row r="128" ht="15.75" customHeight="1">
      <c r="A128" s="109"/>
      <c r="B128" s="110"/>
      <c r="D128" s="116"/>
      <c r="E128" s="113"/>
    </row>
    <row r="129" ht="15.75" customHeight="1">
      <c r="A129" s="109"/>
      <c r="B129" s="110"/>
      <c r="D129" s="116"/>
      <c r="E129" s="113"/>
    </row>
    <row r="130" ht="15.75" customHeight="1">
      <c r="A130" s="109"/>
      <c r="B130" s="110"/>
      <c r="D130" s="116"/>
      <c r="E130" s="113"/>
    </row>
    <row r="131" ht="15.75" customHeight="1">
      <c r="A131" s="109"/>
      <c r="B131" s="110"/>
      <c r="D131" s="116"/>
      <c r="E131" s="113"/>
    </row>
    <row r="132" ht="15.75" customHeight="1">
      <c r="A132" s="109"/>
      <c r="B132" s="110"/>
      <c r="D132" s="116"/>
      <c r="E132" s="113"/>
    </row>
    <row r="133" ht="15.75" customHeight="1">
      <c r="A133" s="109"/>
      <c r="B133" s="110"/>
      <c r="D133" s="116"/>
      <c r="E133" s="113"/>
    </row>
    <row r="134" ht="15.75" customHeight="1">
      <c r="A134" s="109"/>
      <c r="B134" s="110"/>
      <c r="D134" s="116"/>
      <c r="E134" s="113"/>
    </row>
    <row r="135" ht="15.75" customHeight="1">
      <c r="A135" s="109"/>
      <c r="B135" s="110"/>
      <c r="D135" s="116"/>
      <c r="E135" s="113"/>
    </row>
    <row r="136" ht="15.75" customHeight="1">
      <c r="A136" s="109"/>
      <c r="B136" s="110"/>
      <c r="D136" s="116"/>
      <c r="E136" s="113"/>
    </row>
    <row r="137" ht="15.75" customHeight="1">
      <c r="A137" s="109"/>
      <c r="B137" s="110"/>
      <c r="D137" s="116"/>
      <c r="E137" s="113"/>
    </row>
    <row r="138" ht="15.75" customHeight="1">
      <c r="A138" s="109"/>
      <c r="B138" s="110"/>
      <c r="D138" s="116"/>
      <c r="E138" s="113"/>
    </row>
    <row r="139" ht="15.75" customHeight="1">
      <c r="A139" s="109"/>
      <c r="B139" s="110"/>
      <c r="D139" s="116"/>
      <c r="E139" s="113"/>
    </row>
    <row r="140" ht="15.75" customHeight="1">
      <c r="A140" s="109"/>
      <c r="B140" s="110"/>
      <c r="D140" s="116"/>
      <c r="E140" s="113"/>
    </row>
    <row r="141" ht="15.75" customHeight="1">
      <c r="A141" s="109"/>
      <c r="B141" s="110"/>
      <c r="D141" s="116"/>
      <c r="E141" s="113"/>
    </row>
    <row r="142" ht="15.75" customHeight="1">
      <c r="A142" s="109"/>
      <c r="B142" s="110"/>
      <c r="D142" s="116"/>
      <c r="E142" s="113"/>
    </row>
    <row r="143" ht="15.75" customHeight="1">
      <c r="A143" s="109"/>
      <c r="B143" s="110"/>
      <c r="D143" s="116"/>
      <c r="E143" s="113"/>
    </row>
    <row r="144" ht="15.75" customHeight="1">
      <c r="A144" s="109"/>
      <c r="B144" s="110"/>
      <c r="D144" s="116"/>
      <c r="E144" s="113"/>
    </row>
    <row r="145" ht="15.75" customHeight="1">
      <c r="A145" s="109"/>
      <c r="B145" s="110"/>
      <c r="D145" s="116"/>
      <c r="E145" s="113"/>
    </row>
    <row r="146" ht="15.75" customHeight="1">
      <c r="A146" s="109"/>
      <c r="B146" s="110"/>
      <c r="D146" s="116"/>
      <c r="E146" s="113"/>
    </row>
    <row r="147" ht="15.75" customHeight="1">
      <c r="A147" s="109"/>
      <c r="B147" s="110"/>
      <c r="D147" s="116"/>
      <c r="E147" s="113"/>
    </row>
    <row r="148" ht="15.75" customHeight="1">
      <c r="A148" s="109"/>
      <c r="B148" s="110"/>
      <c r="D148" s="116"/>
      <c r="E148" s="113"/>
    </row>
    <row r="149" ht="15.75" customHeight="1">
      <c r="A149" s="109"/>
      <c r="B149" s="110"/>
      <c r="D149" s="116"/>
      <c r="E149" s="113"/>
    </row>
    <row r="150" ht="15.75" customHeight="1">
      <c r="A150" s="109"/>
      <c r="B150" s="110"/>
      <c r="D150" s="116"/>
      <c r="E150" s="113"/>
    </row>
    <row r="151" ht="15.75" customHeight="1">
      <c r="A151" s="109"/>
      <c r="B151" s="110"/>
      <c r="D151" s="116"/>
      <c r="E151" s="113"/>
    </row>
    <row r="152" ht="15.75" customHeight="1">
      <c r="A152" s="109"/>
      <c r="B152" s="110"/>
      <c r="D152" s="116"/>
      <c r="E152" s="113"/>
    </row>
    <row r="153" ht="15.75" customHeight="1">
      <c r="A153" s="109"/>
      <c r="B153" s="110"/>
      <c r="D153" s="116"/>
      <c r="E153" s="113"/>
    </row>
    <row r="154" ht="15.75" customHeight="1">
      <c r="A154" s="109"/>
      <c r="B154" s="110"/>
      <c r="D154" s="116"/>
      <c r="E154" s="113"/>
    </row>
    <row r="155" ht="15.75" customHeight="1">
      <c r="A155" s="109"/>
      <c r="B155" s="110"/>
      <c r="D155" s="116"/>
      <c r="E155" s="113"/>
    </row>
    <row r="156" ht="15.75" customHeight="1">
      <c r="A156" s="109"/>
      <c r="B156" s="110"/>
      <c r="D156" s="116"/>
      <c r="E156" s="113"/>
    </row>
    <row r="157" ht="15.75" customHeight="1">
      <c r="A157" s="109"/>
      <c r="B157" s="110"/>
      <c r="D157" s="116"/>
      <c r="E157" s="113"/>
    </row>
    <row r="158" ht="15.75" customHeight="1">
      <c r="A158" s="109"/>
      <c r="B158" s="110"/>
      <c r="D158" s="116"/>
      <c r="E158" s="113"/>
    </row>
    <row r="159" ht="15.75" customHeight="1">
      <c r="A159" s="109"/>
      <c r="B159" s="110"/>
      <c r="D159" s="116"/>
      <c r="E159" s="113"/>
    </row>
    <row r="160" ht="15.75" customHeight="1">
      <c r="A160" s="109"/>
      <c r="B160" s="110"/>
      <c r="D160" s="116"/>
      <c r="E160" s="113"/>
    </row>
    <row r="161" ht="15.75" customHeight="1">
      <c r="A161" s="109"/>
      <c r="B161" s="110"/>
      <c r="D161" s="116"/>
      <c r="E161" s="113"/>
    </row>
    <row r="162" ht="15.75" customHeight="1">
      <c r="A162" s="109"/>
      <c r="B162" s="110"/>
      <c r="D162" s="116"/>
      <c r="E162" s="113"/>
    </row>
    <row r="163" ht="15.75" customHeight="1">
      <c r="A163" s="109"/>
      <c r="B163" s="110"/>
      <c r="D163" s="116"/>
      <c r="E163" s="113"/>
    </row>
    <row r="164" ht="15.75" customHeight="1">
      <c r="A164" s="109"/>
      <c r="B164" s="110"/>
      <c r="D164" s="116"/>
      <c r="E164" s="113"/>
    </row>
    <row r="165" ht="15.75" customHeight="1">
      <c r="A165" s="109"/>
      <c r="B165" s="110"/>
      <c r="D165" s="116"/>
      <c r="E165" s="113"/>
    </row>
    <row r="166" ht="15.75" customHeight="1">
      <c r="A166" s="109"/>
      <c r="B166" s="110"/>
      <c r="D166" s="116"/>
      <c r="E166" s="113"/>
    </row>
    <row r="167" ht="15.75" customHeight="1">
      <c r="A167" s="109"/>
      <c r="B167" s="110"/>
      <c r="D167" s="116"/>
      <c r="E167" s="113"/>
    </row>
    <row r="168" ht="15.75" customHeight="1">
      <c r="A168" s="109"/>
      <c r="B168" s="110"/>
      <c r="D168" s="116"/>
      <c r="E168" s="113"/>
    </row>
    <row r="169" ht="15.75" customHeight="1">
      <c r="A169" s="109"/>
      <c r="B169" s="110"/>
      <c r="D169" s="116"/>
      <c r="E169" s="113"/>
    </row>
    <row r="170" ht="15.75" customHeight="1">
      <c r="A170" s="109"/>
      <c r="B170" s="110"/>
      <c r="D170" s="116"/>
      <c r="E170" s="113"/>
    </row>
    <row r="171" ht="15.75" customHeight="1">
      <c r="A171" s="109"/>
      <c r="B171" s="110"/>
      <c r="D171" s="116"/>
      <c r="E171" s="113"/>
    </row>
    <row r="172" ht="15.75" customHeight="1">
      <c r="A172" s="109"/>
      <c r="B172" s="110"/>
      <c r="D172" s="116"/>
      <c r="E172" s="113"/>
    </row>
    <row r="173" ht="15.75" customHeight="1">
      <c r="A173" s="109"/>
      <c r="B173" s="110"/>
      <c r="D173" s="116"/>
      <c r="E173" s="113"/>
    </row>
    <row r="174" ht="15.75" customHeight="1">
      <c r="A174" s="109"/>
      <c r="B174" s="110"/>
      <c r="D174" s="116"/>
      <c r="E174" s="113"/>
    </row>
    <row r="175" ht="15.75" customHeight="1">
      <c r="A175" s="109"/>
      <c r="B175" s="110"/>
      <c r="D175" s="116"/>
      <c r="E175" s="113"/>
    </row>
    <row r="176" ht="15.75" customHeight="1">
      <c r="A176" s="109"/>
      <c r="B176" s="110"/>
      <c r="D176" s="116"/>
      <c r="E176" s="113"/>
    </row>
    <row r="177" ht="15.75" customHeight="1">
      <c r="A177" s="109"/>
      <c r="B177" s="110"/>
      <c r="D177" s="116"/>
      <c r="E177" s="113"/>
    </row>
    <row r="178" ht="15.75" customHeight="1">
      <c r="A178" s="109"/>
      <c r="B178" s="110"/>
      <c r="D178" s="116"/>
      <c r="E178" s="113"/>
    </row>
    <row r="179" ht="15.75" customHeight="1">
      <c r="A179" s="109"/>
      <c r="B179" s="110"/>
      <c r="D179" s="116"/>
      <c r="E179" s="113"/>
    </row>
    <row r="180" ht="15.75" customHeight="1">
      <c r="A180" s="109"/>
      <c r="B180" s="110"/>
      <c r="D180" s="116"/>
      <c r="E180" s="113"/>
    </row>
    <row r="181" ht="15.75" customHeight="1">
      <c r="A181" s="109"/>
      <c r="B181" s="110"/>
      <c r="D181" s="116"/>
      <c r="E181" s="113"/>
    </row>
    <row r="182" ht="15.75" customHeight="1">
      <c r="A182" s="109"/>
      <c r="B182" s="110"/>
      <c r="D182" s="116"/>
      <c r="E182" s="113"/>
    </row>
    <row r="183" ht="15.75" customHeight="1">
      <c r="A183" s="109"/>
      <c r="B183" s="110"/>
      <c r="D183" s="116"/>
      <c r="E183" s="113"/>
    </row>
    <row r="184" ht="15.75" customHeight="1">
      <c r="A184" s="109"/>
      <c r="B184" s="110"/>
      <c r="D184" s="116"/>
      <c r="E184" s="113"/>
    </row>
    <row r="185" ht="15.75" customHeight="1">
      <c r="A185" s="109"/>
      <c r="B185" s="110"/>
      <c r="D185" s="116"/>
      <c r="E185" s="113"/>
    </row>
    <row r="186" ht="15.75" customHeight="1">
      <c r="A186" s="109"/>
      <c r="B186" s="110"/>
      <c r="D186" s="116"/>
      <c r="E186" s="113"/>
    </row>
    <row r="187" ht="15.75" customHeight="1">
      <c r="A187" s="109"/>
      <c r="B187" s="110"/>
      <c r="D187" s="116"/>
      <c r="E187" s="113"/>
    </row>
    <row r="188" ht="15.75" customHeight="1">
      <c r="A188" s="109"/>
      <c r="B188" s="110"/>
      <c r="D188" s="116"/>
      <c r="E188" s="113"/>
    </row>
    <row r="189" ht="15.75" customHeight="1">
      <c r="A189" s="109"/>
      <c r="B189" s="110"/>
      <c r="D189" s="116"/>
      <c r="E189" s="113"/>
    </row>
    <row r="190" ht="15.75" customHeight="1">
      <c r="A190" s="109"/>
      <c r="B190" s="110"/>
      <c r="D190" s="116"/>
      <c r="E190" s="113"/>
    </row>
    <row r="191" ht="15.75" customHeight="1">
      <c r="A191" s="109"/>
      <c r="B191" s="110"/>
      <c r="D191" s="116"/>
      <c r="E191" s="113"/>
    </row>
    <row r="192" ht="15.75" customHeight="1">
      <c r="A192" s="109"/>
      <c r="B192" s="110"/>
      <c r="D192" s="116"/>
      <c r="E192" s="113"/>
    </row>
    <row r="193" ht="15.75" customHeight="1">
      <c r="A193" s="109"/>
      <c r="B193" s="110"/>
      <c r="D193" s="116"/>
      <c r="E193" s="113"/>
    </row>
    <row r="194" ht="15.75" customHeight="1">
      <c r="A194" s="109"/>
      <c r="B194" s="110"/>
      <c r="D194" s="116"/>
      <c r="E194" s="113"/>
    </row>
    <row r="195" ht="15.75" customHeight="1">
      <c r="A195" s="109"/>
      <c r="B195" s="110"/>
      <c r="D195" s="116"/>
      <c r="E195" s="113"/>
    </row>
    <row r="196" ht="15.75" customHeight="1">
      <c r="A196" s="109"/>
      <c r="B196" s="110"/>
      <c r="D196" s="116"/>
      <c r="E196" s="113"/>
    </row>
    <row r="197" ht="15.75" customHeight="1">
      <c r="A197" s="109"/>
      <c r="B197" s="110"/>
      <c r="D197" s="116"/>
      <c r="E197" s="113"/>
    </row>
    <row r="198" ht="15.75" customHeight="1">
      <c r="A198" s="109"/>
      <c r="B198" s="110"/>
      <c r="D198" s="116"/>
      <c r="E198" s="113"/>
    </row>
    <row r="199" ht="15.75" customHeight="1">
      <c r="A199" s="109"/>
      <c r="B199" s="110"/>
      <c r="D199" s="116"/>
      <c r="E199" s="113"/>
    </row>
    <row r="200" ht="15.75" customHeight="1">
      <c r="A200" s="109"/>
      <c r="B200" s="110"/>
      <c r="D200" s="116"/>
      <c r="E200" s="113"/>
    </row>
    <row r="201" ht="15.75" customHeight="1">
      <c r="A201" s="109"/>
      <c r="B201" s="110"/>
      <c r="D201" s="116"/>
      <c r="E201" s="113"/>
    </row>
    <row r="202" ht="15.75" customHeight="1">
      <c r="A202" s="109"/>
      <c r="B202" s="110"/>
      <c r="D202" s="116"/>
      <c r="E202" s="113"/>
    </row>
    <row r="203" ht="15.75" customHeight="1">
      <c r="A203" s="109"/>
      <c r="B203" s="110"/>
      <c r="D203" s="116"/>
      <c r="E203" s="113"/>
    </row>
    <row r="204" ht="15.75" customHeight="1">
      <c r="A204" s="109"/>
      <c r="B204" s="110"/>
      <c r="D204" s="116"/>
      <c r="E204" s="113"/>
    </row>
    <row r="205" ht="15.75" customHeight="1">
      <c r="A205" s="109"/>
      <c r="B205" s="110"/>
      <c r="D205" s="116"/>
      <c r="E205" s="113"/>
    </row>
    <row r="206" ht="15.75" customHeight="1">
      <c r="A206" s="109"/>
      <c r="B206" s="110"/>
      <c r="D206" s="116"/>
      <c r="E206" s="113"/>
    </row>
    <row r="207" ht="15.75" customHeight="1">
      <c r="A207" s="109"/>
      <c r="B207" s="110"/>
      <c r="D207" s="116"/>
      <c r="E207" s="113"/>
    </row>
    <row r="208" ht="15.75" customHeight="1">
      <c r="A208" s="109"/>
      <c r="B208" s="110"/>
      <c r="D208" s="116"/>
      <c r="E208" s="113"/>
    </row>
    <row r="209" ht="15.75" customHeight="1">
      <c r="A209" s="109"/>
      <c r="B209" s="110"/>
      <c r="D209" s="116"/>
      <c r="E209" s="113"/>
    </row>
    <row r="210" ht="15.75" customHeight="1">
      <c r="A210" s="109"/>
      <c r="B210" s="110"/>
      <c r="D210" s="116"/>
      <c r="E210" s="113"/>
    </row>
    <row r="211" ht="15.75" customHeight="1">
      <c r="A211" s="109"/>
      <c r="B211" s="110"/>
      <c r="D211" s="116"/>
      <c r="E211" s="113"/>
    </row>
    <row r="212" ht="15.75" customHeight="1">
      <c r="A212" s="109"/>
      <c r="B212" s="110"/>
      <c r="D212" s="116"/>
      <c r="E212" s="113"/>
    </row>
    <row r="213" ht="15.75" customHeight="1">
      <c r="A213" s="109"/>
      <c r="B213" s="110"/>
      <c r="D213" s="116"/>
      <c r="E213" s="113"/>
    </row>
    <row r="214" ht="15.75" customHeight="1">
      <c r="A214" s="109"/>
      <c r="B214" s="110"/>
      <c r="D214" s="116"/>
      <c r="E214" s="113"/>
    </row>
    <row r="215" ht="15.75" customHeight="1">
      <c r="A215" s="109"/>
      <c r="B215" s="110"/>
      <c r="D215" s="116"/>
      <c r="E215" s="113"/>
    </row>
    <row r="216" ht="15.75" customHeight="1">
      <c r="A216" s="109"/>
      <c r="B216" s="110"/>
      <c r="D216" s="116"/>
      <c r="E216" s="113"/>
    </row>
    <row r="217" ht="15.75" customHeight="1">
      <c r="A217" s="109"/>
      <c r="B217" s="110"/>
      <c r="D217" s="116"/>
      <c r="E217" s="113"/>
    </row>
    <row r="218" ht="15.75" customHeight="1">
      <c r="A218" s="109"/>
      <c r="B218" s="110"/>
      <c r="D218" s="116"/>
      <c r="E218" s="113"/>
    </row>
    <row r="219" ht="15.75" customHeight="1">
      <c r="A219" s="109"/>
      <c r="B219" s="110"/>
      <c r="D219" s="116"/>
      <c r="E219" s="113"/>
    </row>
    <row r="220" ht="15.75" customHeight="1">
      <c r="A220" s="109"/>
      <c r="B220" s="110"/>
      <c r="D220" s="116"/>
      <c r="E220" s="113"/>
    </row>
    <row r="221" ht="15.75" customHeight="1">
      <c r="A221" s="109"/>
      <c r="B221" s="110"/>
      <c r="D221" s="116"/>
      <c r="E221" s="113"/>
    </row>
    <row r="222" ht="15.75" customHeight="1">
      <c r="A222" s="109"/>
      <c r="B222" s="110"/>
      <c r="D222" s="116"/>
      <c r="E222" s="113"/>
    </row>
    <row r="223" ht="15.75" customHeight="1">
      <c r="A223" s="109"/>
      <c r="B223" s="110"/>
      <c r="D223" s="116"/>
      <c r="E223" s="113"/>
    </row>
    <row r="224" ht="15.75" customHeight="1">
      <c r="A224" s="109"/>
      <c r="B224" s="110"/>
      <c r="D224" s="116"/>
      <c r="E224" s="113"/>
    </row>
    <row r="225" ht="15.75" customHeight="1">
      <c r="A225" s="109"/>
      <c r="B225" s="110"/>
      <c r="D225" s="116"/>
      <c r="E225" s="113"/>
    </row>
    <row r="226" ht="15.75" customHeight="1">
      <c r="A226" s="109"/>
      <c r="B226" s="110"/>
      <c r="D226" s="116"/>
      <c r="E226" s="113"/>
    </row>
    <row r="227" ht="15.75" customHeight="1">
      <c r="A227" s="109"/>
      <c r="B227" s="110"/>
      <c r="D227" s="116"/>
      <c r="E227" s="113"/>
    </row>
    <row r="228" ht="15.75" customHeight="1">
      <c r="A228" s="109"/>
      <c r="B228" s="110"/>
      <c r="D228" s="116"/>
      <c r="E228" s="113"/>
    </row>
    <row r="229" ht="15.75" customHeight="1">
      <c r="A229" s="109"/>
      <c r="B229" s="110"/>
      <c r="D229" s="116"/>
      <c r="E229" s="113"/>
    </row>
    <row r="230" ht="15.75" customHeight="1">
      <c r="A230" s="109"/>
      <c r="B230" s="110"/>
      <c r="D230" s="116"/>
      <c r="E230" s="113"/>
    </row>
    <row r="231" ht="15.75" customHeight="1">
      <c r="A231" s="109"/>
      <c r="B231" s="110"/>
      <c r="D231" s="116"/>
      <c r="E231" s="113"/>
    </row>
    <row r="232" ht="15.75" customHeight="1">
      <c r="A232" s="109"/>
      <c r="B232" s="110"/>
      <c r="D232" s="116"/>
      <c r="E232" s="113"/>
    </row>
    <row r="233" ht="15.75" customHeight="1">
      <c r="A233" s="109"/>
      <c r="B233" s="110"/>
      <c r="D233" s="116"/>
      <c r="E233" s="113"/>
    </row>
    <row r="234" ht="15.75" customHeight="1">
      <c r="A234" s="109"/>
      <c r="B234" s="110"/>
      <c r="D234" s="116"/>
      <c r="E234" s="113"/>
    </row>
    <row r="235" ht="15.75" customHeight="1">
      <c r="A235" s="109"/>
      <c r="B235" s="110"/>
      <c r="D235" s="116"/>
      <c r="E235" s="113"/>
    </row>
    <row r="236" ht="15.75" customHeight="1">
      <c r="A236" s="109"/>
      <c r="B236" s="110"/>
      <c r="D236" s="116"/>
      <c r="E236" s="113"/>
    </row>
    <row r="237" ht="15.75" customHeight="1">
      <c r="A237" s="109"/>
      <c r="B237" s="110"/>
      <c r="D237" s="116"/>
      <c r="E237" s="113"/>
    </row>
    <row r="238" ht="15.75" customHeight="1">
      <c r="A238" s="109"/>
      <c r="B238" s="110"/>
      <c r="D238" s="116"/>
      <c r="E238" s="113"/>
    </row>
    <row r="239" ht="15.75" customHeight="1">
      <c r="A239" s="109"/>
      <c r="B239" s="110"/>
      <c r="D239" s="116"/>
      <c r="E239" s="113"/>
    </row>
    <row r="240" ht="15.75" customHeight="1">
      <c r="A240" s="109"/>
      <c r="B240" s="110"/>
      <c r="D240" s="116"/>
      <c r="E240" s="113"/>
    </row>
    <row r="241" ht="15.75" customHeight="1">
      <c r="A241" s="109"/>
      <c r="B241" s="110"/>
      <c r="D241" s="116"/>
      <c r="E241" s="113"/>
    </row>
    <row r="242" ht="15.75" customHeight="1">
      <c r="A242" s="109"/>
      <c r="B242" s="110"/>
      <c r="D242" s="116"/>
      <c r="E242" s="113"/>
    </row>
    <row r="243" ht="15.75" customHeight="1">
      <c r="A243" s="109"/>
      <c r="B243" s="110"/>
      <c r="D243" s="116"/>
      <c r="E243" s="113"/>
    </row>
    <row r="244" ht="15.75" customHeight="1">
      <c r="A244" s="109"/>
      <c r="B244" s="110"/>
      <c r="D244" s="116"/>
      <c r="E244" s="113"/>
    </row>
    <row r="245" ht="15.75" customHeight="1">
      <c r="A245" s="109"/>
      <c r="B245" s="110"/>
      <c r="D245" s="116"/>
      <c r="E245" s="113"/>
    </row>
    <row r="246" ht="15.75" customHeight="1">
      <c r="A246" s="109"/>
      <c r="B246" s="110"/>
      <c r="D246" s="116"/>
      <c r="E246" s="113"/>
    </row>
    <row r="247" ht="15.75" customHeight="1">
      <c r="A247" s="109"/>
      <c r="B247" s="110"/>
      <c r="D247" s="116"/>
      <c r="E247" s="113"/>
    </row>
    <row r="248" ht="15.75" customHeight="1">
      <c r="A248" s="109"/>
      <c r="B248" s="110"/>
      <c r="D248" s="116"/>
      <c r="E248" s="113"/>
    </row>
    <row r="249" ht="15.75" customHeight="1">
      <c r="A249" s="109"/>
      <c r="B249" s="110"/>
      <c r="D249" s="116"/>
      <c r="E249" s="113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AD1:AG1"/>
    <mergeCell ref="AH1:AK1"/>
    <mergeCell ref="AL1:AO1"/>
    <mergeCell ref="AP1:AP2"/>
    <mergeCell ref="AQ1:AQ2"/>
    <mergeCell ref="AR1:AR2"/>
    <mergeCell ref="AS1:AS2"/>
    <mergeCell ref="H1:H2"/>
    <mergeCell ref="I1:I2"/>
    <mergeCell ref="J1:M1"/>
    <mergeCell ref="N1:Q1"/>
    <mergeCell ref="R1:U1"/>
    <mergeCell ref="V1:Y1"/>
    <mergeCell ref="Z1:AC1"/>
    <mergeCell ref="A1:A2"/>
    <mergeCell ref="B1:B2"/>
    <mergeCell ref="C1:C2"/>
    <mergeCell ref="D1:D2"/>
    <mergeCell ref="E1:E2"/>
    <mergeCell ref="F1:F2"/>
    <mergeCell ref="G1:G2"/>
    <mergeCell ref="B3:B12"/>
    <mergeCell ref="C3:C12"/>
    <mergeCell ref="D3:D4"/>
    <mergeCell ref="D5:D6"/>
    <mergeCell ref="D7:D8"/>
    <mergeCell ref="D9:D10"/>
    <mergeCell ref="D11:D12"/>
    <mergeCell ref="D31:D32"/>
    <mergeCell ref="D33:D34"/>
    <mergeCell ref="D35:D36"/>
    <mergeCell ref="D38:D39"/>
    <mergeCell ref="D40:D41"/>
    <mergeCell ref="D42:D43"/>
    <mergeCell ref="D44:D45"/>
    <mergeCell ref="D46:D47"/>
    <mergeCell ref="D15:D16"/>
    <mergeCell ref="D17:D18"/>
    <mergeCell ref="D19:D20"/>
    <mergeCell ref="D21:D22"/>
    <mergeCell ref="D23:D24"/>
    <mergeCell ref="D27:D28"/>
    <mergeCell ref="D29:D30"/>
    <mergeCell ref="A38:A47"/>
    <mergeCell ref="B38:B47"/>
    <mergeCell ref="C38:C47"/>
    <mergeCell ref="A3:A12"/>
    <mergeCell ref="A15:A24"/>
    <mergeCell ref="B15:B24"/>
    <mergeCell ref="C15:C24"/>
    <mergeCell ref="A27:A36"/>
    <mergeCell ref="B27:B36"/>
    <mergeCell ref="C27:C3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2024-12-23T15:51:58Z</dcterms:created>
  <dc:creator>HP</dc:creator>
</cp:coreProperties>
</file>